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b8a94ca0ae486cb/Carpeta Personal/"/>
    </mc:Choice>
  </mc:AlternateContent>
  <xr:revisionPtr revIDLastSave="28928" documentId="11_AD4D2F04E46CFB4ACB3E20831D94FDCC693EDF11" xr6:coauthVersionLast="47" xr6:coauthVersionMax="47" xr10:uidLastSave="{5C64BC15-8E78-4E38-834D-F0796AF50FA2}"/>
  <bookViews>
    <workbookView xWindow="-120" yWindow="-120" windowWidth="29040" windowHeight="16440" tabRatio="601" firstSheet="1" activeTab="3" xr2:uid="{00000000-000D-0000-FFFF-FFFF00000000}"/>
  </bookViews>
  <sheets>
    <sheet name="Listas Validadas" sheetId="2" state="hidden" r:id="rId1"/>
    <sheet name="Estadistica" sheetId="8" r:id="rId2"/>
    <sheet name="Maestro" sheetId="7" r:id="rId3"/>
    <sheet name="Presupuesto Anual 2026" sheetId="11" r:id="rId4"/>
    <sheet name="Resumen Anual" sheetId="13" r:id="rId5"/>
  </sheets>
  <definedNames>
    <definedName name="_xlnm._FilterDatabase" localSheetId="1" hidden="1">Estadistica!$M$8:$N$50</definedName>
    <definedName name="_xlnm._FilterDatabase" localSheetId="2" hidden="1">Maestro!$L$674:$Q$674</definedName>
    <definedName name="_xlnm._FilterDatabase" localSheetId="3" hidden="1">'Presupuesto Anual 2026'!$C$98:$C$115</definedName>
  </definedNames>
  <calcPr calcId="191028"/>
  <pivotCaches>
    <pivotCache cacheId="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8" l="1"/>
  <c r="G29" i="8"/>
  <c r="K26" i="8"/>
  <c r="N34" i="8"/>
  <c r="K30" i="8"/>
  <c r="K18" i="8"/>
  <c r="K44" i="8"/>
  <c r="N15" i="8"/>
  <c r="G30" i="8"/>
  <c r="G27" i="8"/>
  <c r="N18" i="8"/>
  <c r="K28" i="8"/>
  <c r="N39" i="8"/>
  <c r="N45" i="8"/>
  <c r="K17" i="8"/>
  <c r="N22" i="8"/>
  <c r="N24" i="8"/>
  <c r="K31" i="8"/>
  <c r="G686" i="7"/>
  <c r="N38" i="8" s="1"/>
  <c r="G685" i="7"/>
  <c r="G684" i="7"/>
  <c r="G683" i="7"/>
  <c r="G681" i="7"/>
  <c r="G676" i="7"/>
  <c r="G682" i="7"/>
  <c r="G679" i="7"/>
  <c r="G675" i="7"/>
  <c r="G680" i="7"/>
  <c r="G674" i="7"/>
  <c r="G673" i="7"/>
  <c r="G678" i="7"/>
  <c r="G677" i="7"/>
  <c r="G670" i="7"/>
  <c r="G671" i="7"/>
  <c r="G672" i="7"/>
  <c r="G669" i="7"/>
  <c r="G668" i="7"/>
  <c r="G667" i="7"/>
  <c r="G666" i="7"/>
  <c r="G665" i="7"/>
  <c r="G664" i="7"/>
  <c r="G663" i="7"/>
  <c r="G662" i="7"/>
  <c r="G661" i="7"/>
  <c r="G659" i="7"/>
  <c r="G658" i="7"/>
  <c r="G657" i="7"/>
  <c r="G656" i="7"/>
  <c r="G655" i="7"/>
  <c r="G654" i="7"/>
  <c r="G653" i="7"/>
  <c r="G652" i="7"/>
  <c r="G651" i="7"/>
  <c r="G650" i="7"/>
  <c r="G649" i="7"/>
  <c r="G648" i="7"/>
  <c r="G647" i="7"/>
  <c r="G646" i="7"/>
  <c r="G644" i="7"/>
  <c r="G639" i="7"/>
  <c r="G640" i="7"/>
  <c r="G641" i="7"/>
  <c r="G642" i="7"/>
  <c r="G643" i="7"/>
  <c r="G638" i="7"/>
  <c r="G637" i="7"/>
  <c r="G635" i="7"/>
  <c r="G634" i="7"/>
  <c r="G636" i="7"/>
  <c r="G630" i="7"/>
  <c r="G631" i="7"/>
  <c r="G632" i="7"/>
  <c r="G633" i="7"/>
  <c r="G629" i="7"/>
  <c r="G628" i="7"/>
  <c r="G627" i="7"/>
  <c r="O6" i="11"/>
  <c r="O20" i="11"/>
  <c r="O17" i="11" s="1"/>
  <c r="G624" i="7"/>
  <c r="G623" i="7"/>
  <c r="G625" i="7"/>
  <c r="G626" i="7"/>
  <c r="G622" i="7"/>
  <c r="G621" i="7"/>
  <c r="G620" i="7"/>
  <c r="E560" i="7"/>
  <c r="G619" i="7"/>
  <c r="G618" i="7"/>
  <c r="G617" i="7"/>
  <c r="G616" i="7"/>
  <c r="G615" i="7"/>
  <c r="G614" i="7"/>
  <c r="G613" i="7"/>
  <c r="G611" i="7"/>
  <c r="G610" i="7"/>
  <c r="G612" i="7"/>
  <c r="O37" i="11"/>
  <c r="O38" i="11"/>
  <c r="O13" i="11"/>
  <c r="O12" i="11"/>
  <c r="O15" i="11" s="1"/>
  <c r="G609" i="7"/>
  <c r="G608" i="7"/>
  <c r="G607" i="7"/>
  <c r="G606" i="7"/>
  <c r="G605" i="7"/>
  <c r="E592" i="7"/>
  <c r="G604" i="7"/>
  <c r="G603" i="7"/>
  <c r="G602" i="7"/>
  <c r="L196" i="11"/>
  <c r="L174" i="11"/>
  <c r="L152" i="11"/>
  <c r="L129" i="11"/>
  <c r="L107" i="11"/>
  <c r="L84" i="11"/>
  <c r="F45" i="11"/>
  <c r="L37" i="11"/>
  <c r="G595" i="7"/>
  <c r="G601" i="7"/>
  <c r="G600" i="7"/>
  <c r="G599" i="7"/>
  <c r="G598" i="7"/>
  <c r="G597" i="7"/>
  <c r="G596" i="7"/>
  <c r="G594" i="7"/>
  <c r="G593" i="7"/>
  <c r="G592" i="7"/>
  <c r="G591" i="7"/>
  <c r="G590" i="7"/>
  <c r="G589" i="7"/>
  <c r="G588" i="7"/>
  <c r="G587" i="7"/>
  <c r="G586" i="7"/>
  <c r="G585" i="7"/>
  <c r="L13" i="11"/>
  <c r="G584" i="7"/>
  <c r="G583" i="7"/>
  <c r="G645" i="7"/>
  <c r="G660" i="7"/>
  <c r="E563" i="7"/>
  <c r="G582" i="7"/>
  <c r="G581" i="7"/>
  <c r="G580" i="7"/>
  <c r="G579" i="7"/>
  <c r="G578" i="7"/>
  <c r="E564" i="7"/>
  <c r="G577" i="7"/>
  <c r="G576" i="7"/>
  <c r="G575" i="7"/>
  <c r="G574" i="7"/>
  <c r="G573" i="7"/>
  <c r="G572" i="7"/>
  <c r="G567" i="7"/>
  <c r="G568" i="7"/>
  <c r="G569" i="7"/>
  <c r="G570" i="7"/>
  <c r="G571" i="7"/>
  <c r="G565" i="7"/>
  <c r="G566" i="7"/>
  <c r="G564" i="7"/>
  <c r="G563" i="7"/>
  <c r="G561" i="7"/>
  <c r="G562" i="7"/>
  <c r="G560" i="7"/>
  <c r="G559" i="7"/>
  <c r="G558" i="7"/>
  <c r="G557" i="7"/>
  <c r="G556" i="7"/>
  <c r="G555" i="7"/>
  <c r="G554" i="7"/>
  <c r="G553" i="7"/>
  <c r="G552" i="7"/>
  <c r="G551" i="7"/>
  <c r="G550" i="7"/>
  <c r="G549" i="7"/>
  <c r="G548" i="7"/>
  <c r="G547" i="7"/>
  <c r="G546" i="7"/>
  <c r="E467" i="7"/>
  <c r="G544" i="7"/>
  <c r="E515" i="7"/>
  <c r="O222" i="11"/>
  <c r="O217" i="11" s="1"/>
  <c r="O214" i="11"/>
  <c r="O209" i="11" s="1"/>
  <c r="O200" i="11"/>
  <c r="O195" i="11" s="1"/>
  <c r="O192" i="11"/>
  <c r="F220" i="11" s="1"/>
  <c r="L214" i="11" s="1"/>
  <c r="O178" i="11"/>
  <c r="F200" i="11" s="1"/>
  <c r="L194" i="11" s="1"/>
  <c r="O170" i="11"/>
  <c r="O165" i="11" s="1"/>
  <c r="O156" i="11"/>
  <c r="F178" i="11" s="1"/>
  <c r="L172" i="11" s="1"/>
  <c r="O148" i="11"/>
  <c r="O143" i="11" s="1"/>
  <c r="O133" i="11"/>
  <c r="O128" i="11" s="1"/>
  <c r="O125" i="11"/>
  <c r="F155" i="11" s="1"/>
  <c r="L149" i="11" s="1"/>
  <c r="O120" i="11"/>
  <c r="G543" i="7"/>
  <c r="G542" i="7"/>
  <c r="G541" i="7"/>
  <c r="G540" i="7"/>
  <c r="G539" i="7"/>
  <c r="G538" i="7"/>
  <c r="G537" i="7"/>
  <c r="G536" i="7"/>
  <c r="G535" i="7"/>
  <c r="G534" i="7"/>
  <c r="G533" i="7"/>
  <c r="G532" i="7"/>
  <c r="G531" i="7"/>
  <c r="G530" i="7"/>
  <c r="G529" i="7"/>
  <c r="G528" i="7"/>
  <c r="G527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24" i="7"/>
  <c r="G519" i="7"/>
  <c r="G520" i="7"/>
  <c r="G521" i="7"/>
  <c r="G522" i="7"/>
  <c r="G523" i="7"/>
  <c r="G525" i="7"/>
  <c r="G526" i="7"/>
  <c r="G545" i="7"/>
  <c r="D49" i="8"/>
  <c r="E49" i="8" s="1"/>
  <c r="K245" i="11"/>
  <c r="L79" i="11"/>
  <c r="O56" i="11"/>
  <c r="F87" i="11" s="1"/>
  <c r="L81" i="11" s="1"/>
  <c r="O51" i="11"/>
  <c r="O64" i="11"/>
  <c r="O59" i="11" s="1"/>
  <c r="O88" i="11"/>
  <c r="O83" i="11"/>
  <c r="O80" i="11"/>
  <c r="F110" i="11" s="1"/>
  <c r="L104" i="11" s="1"/>
  <c r="L109" i="11" s="1"/>
  <c r="L97" i="11" s="1"/>
  <c r="O75" i="11"/>
  <c r="O110" i="11"/>
  <c r="F133" i="11" s="1"/>
  <c r="L127" i="11" s="1"/>
  <c r="L55" i="11"/>
  <c r="L30" i="11"/>
  <c r="E359" i="7"/>
  <c r="E357" i="7"/>
  <c r="O102" i="11"/>
  <c r="F132" i="11" s="1"/>
  <c r="L126" i="11" s="1"/>
  <c r="E442" i="7"/>
  <c r="E372" i="7"/>
  <c r="E447" i="7"/>
  <c r="E2" i="7"/>
  <c r="E171" i="7"/>
  <c r="E228" i="7"/>
  <c r="E403" i="7"/>
  <c r="E361" i="7"/>
  <c r="E108" i="7"/>
  <c r="E116" i="7"/>
  <c r="E191" i="7"/>
  <c r="E203" i="7"/>
  <c r="E216" i="7"/>
  <c r="E223" i="7"/>
  <c r="E226" i="7"/>
  <c r="E237" i="7"/>
  <c r="E266" i="7"/>
  <c r="E270" i="7"/>
  <c r="E293" i="7"/>
  <c r="E338" i="7"/>
  <c r="O31" i="11"/>
  <c r="F64" i="11" s="1"/>
  <c r="L58" i="11" s="1"/>
  <c r="D50" i="8"/>
  <c r="E50" i="8" s="1"/>
  <c r="D48" i="8"/>
  <c r="E48" i="8" s="1"/>
  <c r="D47" i="8"/>
  <c r="E47" i="8" s="1"/>
  <c r="K242" i="11"/>
  <c r="O173" i="11"/>
  <c r="F177" i="11"/>
  <c r="L171" i="11" s="1"/>
  <c r="L176" i="11" s="1"/>
  <c r="L165" i="11" s="1"/>
  <c r="R165" i="11" s="1"/>
  <c r="O39" i="11"/>
  <c r="F65" i="11" s="1"/>
  <c r="L59" i="11" s="1"/>
  <c r="O97" i="11"/>
  <c r="F156" i="11"/>
  <c r="L150" i="11" s="1"/>
  <c r="O26" i="11"/>
  <c r="F111" i="11"/>
  <c r="L105" i="11"/>
  <c r="O3" i="11"/>
  <c r="F39" i="11"/>
  <c r="L34" i="11" s="1"/>
  <c r="N13" i="8" l="1"/>
  <c r="N25" i="8"/>
  <c r="N31" i="8"/>
  <c r="N21" i="8"/>
  <c r="G26" i="8"/>
  <c r="N11" i="8"/>
  <c r="N14" i="8"/>
  <c r="N17" i="8"/>
  <c r="N28" i="8"/>
  <c r="C17" i="8"/>
  <c r="N16" i="8"/>
  <c r="N43" i="8"/>
  <c r="N19" i="8"/>
  <c r="G17" i="8"/>
  <c r="N26" i="8"/>
  <c r="N40" i="8"/>
  <c r="G18" i="8"/>
  <c r="G28" i="8"/>
  <c r="C16" i="8"/>
  <c r="B9" i="8"/>
  <c r="K27" i="8"/>
  <c r="N44" i="8"/>
  <c r="G31" i="8"/>
  <c r="N30" i="8"/>
  <c r="F9" i="8"/>
  <c r="N35" i="8"/>
  <c r="K20" i="8"/>
  <c r="N42" i="8"/>
  <c r="K45" i="8"/>
  <c r="N41" i="8"/>
  <c r="N37" i="8"/>
  <c r="N20" i="8"/>
  <c r="N29" i="8"/>
  <c r="K43" i="8"/>
  <c r="N27" i="8"/>
  <c r="K19" i="8"/>
  <c r="N23" i="8"/>
  <c r="N32" i="8"/>
  <c r="N36" i="8"/>
  <c r="C18" i="8"/>
  <c r="N12" i="8"/>
  <c r="K16" i="8"/>
  <c r="N33" i="8"/>
  <c r="O105" i="11"/>
  <c r="R97" i="11" s="1"/>
  <c r="F221" i="11"/>
  <c r="L215" i="11" s="1"/>
  <c r="O151" i="11"/>
  <c r="F88" i="11"/>
  <c r="L82" i="11" s="1"/>
  <c r="L86" i="11" s="1"/>
  <c r="L75" i="11" s="1"/>
  <c r="R75" i="11" s="1"/>
  <c r="L63" i="11"/>
  <c r="L51" i="11" s="1"/>
  <c r="R51" i="11" s="1"/>
  <c r="L217" i="11"/>
  <c r="L209" i="11" s="1"/>
  <c r="R209" i="11" s="1"/>
  <c r="O9" i="11"/>
  <c r="F40" i="11"/>
  <c r="L35" i="11" s="1"/>
  <c r="L39" i="11" s="1"/>
  <c r="L26" i="11" s="1"/>
  <c r="L131" i="11"/>
  <c r="L120" i="11" s="1"/>
  <c r="R120" i="11" s="1"/>
  <c r="L154" i="11"/>
  <c r="L143" i="11" s="1"/>
  <c r="R143" i="11" s="1"/>
  <c r="O34" i="11"/>
  <c r="F199" i="11"/>
  <c r="L193" i="11" s="1"/>
  <c r="L198" i="11" s="1"/>
  <c r="L187" i="11" s="1"/>
  <c r="O187" i="11"/>
  <c r="D35" i="8"/>
  <c r="H3" i="8"/>
  <c r="D28" i="8" s="1"/>
  <c r="D27" i="8" s="1"/>
  <c r="E237" i="11"/>
  <c r="E241" i="11"/>
  <c r="E243" i="11"/>
  <c r="H5" i="8"/>
  <c r="D32" i="8" s="1"/>
  <c r="D31" i="8" s="1"/>
  <c r="E238" i="11"/>
  <c r="D238" i="11"/>
  <c r="D241" i="11"/>
  <c r="D245" i="11"/>
  <c r="D235" i="11"/>
  <c r="D236" i="11"/>
  <c r="D244" i="11"/>
  <c r="E236" i="11"/>
  <c r="J40" i="8" a="1"/>
  <c r="F13" i="8" a="1"/>
  <c r="C240" i="11"/>
  <c r="M9" i="8" a="1"/>
  <c r="N10" i="8" s="1"/>
  <c r="C241" i="11"/>
  <c r="C236" i="11"/>
  <c r="E245" i="11"/>
  <c r="D242" i="11"/>
  <c r="D246" i="11"/>
  <c r="C239" i="11"/>
  <c r="J25" i="8" a="1"/>
  <c r="B13" i="8" a="1"/>
  <c r="J9" i="8" a="1"/>
  <c r="E246" i="11"/>
  <c r="C235" i="11"/>
  <c r="E239" i="11"/>
  <c r="D240" i="11"/>
  <c r="E242" i="11"/>
  <c r="E235" i="11"/>
  <c r="C242" i="11"/>
  <c r="C238" i="11"/>
  <c r="H2" i="8"/>
  <c r="C245" i="11"/>
  <c r="D243" i="11"/>
  <c r="C243" i="11"/>
  <c r="D237" i="11"/>
  <c r="H4" i="8"/>
  <c r="D30" i="8" s="1"/>
  <c r="D29" i="8" s="1"/>
  <c r="F11" i="11" s="1"/>
  <c r="F25" i="8" a="1"/>
  <c r="D239" i="11"/>
  <c r="E244" i="11"/>
  <c r="C246" i="11"/>
  <c r="E240" i="11"/>
  <c r="C237" i="11"/>
  <c r="C244" i="11"/>
  <c r="L11" i="11" l="1"/>
  <c r="F16" i="11"/>
  <c r="G14" i="8"/>
  <c r="G15" i="8"/>
  <c r="G16" i="8"/>
  <c r="K42" i="8"/>
  <c r="K41" i="8"/>
  <c r="C14" i="8"/>
  <c r="C15" i="8"/>
  <c r="K12" i="8"/>
  <c r="K14" i="8"/>
  <c r="K15" i="8"/>
  <c r="K11" i="8"/>
  <c r="K10" i="8"/>
  <c r="K13" i="8"/>
  <c r="F25" i="8"/>
  <c r="G25" i="8" s="1"/>
  <c r="F15" i="11"/>
  <c r="L10" i="11" s="1"/>
  <c r="R26" i="11"/>
  <c r="R187" i="11"/>
  <c r="L7" i="11"/>
  <c r="J9" i="8"/>
  <c r="K9" i="8" s="1"/>
  <c r="B13" i="8"/>
  <c r="C13" i="8" s="1"/>
  <c r="J25" i="8"/>
  <c r="K25" i="8" s="1"/>
  <c r="D25" i="8"/>
  <c r="J3" i="8"/>
  <c r="M9" i="8"/>
  <c r="N9" i="8" s="1"/>
  <c r="F13" i="8"/>
  <c r="G13" i="8" s="1"/>
  <c r="J40" i="8"/>
  <c r="K40" i="8" s="1"/>
  <c r="G32" i="8" l="1"/>
  <c r="L15" i="11"/>
  <c r="C19" i="8"/>
  <c r="K46" i="8"/>
  <c r="K32" i="8"/>
  <c r="N46" i="8"/>
  <c r="G19" i="8"/>
  <c r="K21" i="8"/>
  <c r="L3" i="11" l="1"/>
  <c r="R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Romero</author>
  </authors>
  <commentList>
    <comment ref="E47" authorId="0" shapeId="0" xr:uid="{8BEE9A1A-ED28-415C-BBC5-85BD5994CBC4}">
      <text>
        <r>
          <rPr>
            <b/>
            <sz val="9"/>
            <color indexed="81"/>
            <rFont val="Tahoma"/>
            <family val="2"/>
          </rPr>
          <t>Luis Romero:</t>
        </r>
        <r>
          <rPr>
            <sz val="9"/>
            <color indexed="81"/>
            <rFont val="Tahoma"/>
            <family val="2"/>
          </rPr>
          <t xml:space="preserve">
Se pagará desde enero a mayo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Romero</author>
  </authors>
  <commentList>
    <comment ref="F45" authorId="0" shapeId="0" xr:uid="{7C3E7D22-3B62-4291-A28E-AF6A54741221}">
      <text>
        <r>
          <rPr>
            <sz val="11"/>
            <color theme="1"/>
            <rFont val="Calibri"/>
            <family val="2"/>
            <scheme val="minor"/>
          </rPr>
          <t>Luis Romero:
Cubre la cuota de diciembre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<sst xmlns="http://schemas.openxmlformats.org/spreadsheetml/2006/main" count="3986" uniqueCount="229">
  <si>
    <t>Tipo</t>
  </si>
  <si>
    <t>Cat. Ingreso</t>
  </si>
  <si>
    <t xml:space="preserve"> </t>
  </si>
  <si>
    <t>Cat. Egreso</t>
  </si>
  <si>
    <t>Meses</t>
  </si>
  <si>
    <t>Ingreso</t>
  </si>
  <si>
    <t>Sueldo</t>
  </si>
  <si>
    <t>Servicios</t>
  </si>
  <si>
    <t>Enero</t>
  </si>
  <si>
    <t>Egreso</t>
  </si>
  <si>
    <t>Negocio</t>
  </si>
  <si>
    <t>Gastos</t>
  </si>
  <si>
    <t>Febrero</t>
  </si>
  <si>
    <t>Otros</t>
  </si>
  <si>
    <t>Deudas</t>
  </si>
  <si>
    <t>Marzo</t>
  </si>
  <si>
    <t>Ahorros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</si>
  <si>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</si>
  <si>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</si>
  <si>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</si>
  <si>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</si>
  <si>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</si>
  <si>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</si>
  <si>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</si>
  <si>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</si>
  <si>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</si>
  <si>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Selecciona el mes</t>
  </si>
  <si>
    <t>Saldo Liquido</t>
  </si>
  <si>
    <t>Saldo Total Disponible</t>
  </si>
  <si>
    <t>Saldo Digital ITKB</t>
  </si>
  <si>
    <t>Saldo Digital Ripley</t>
  </si>
  <si>
    <t>Saldo Digital BBVA</t>
  </si>
  <si>
    <t>Servicio</t>
  </si>
  <si>
    <t>Gasto</t>
  </si>
  <si>
    <t>Ingresos Totales</t>
  </si>
  <si>
    <t>Egresos Totales</t>
  </si>
  <si>
    <t>Concepto</t>
  </si>
  <si>
    <t>Monto</t>
  </si>
  <si>
    <t>Resumen de Ingresos</t>
  </si>
  <si>
    <t>Resumen de Egresos</t>
  </si>
  <si>
    <t>Categoria</t>
  </si>
  <si>
    <t>Total</t>
  </si>
  <si>
    <t>Otro Egre</t>
  </si>
  <si>
    <t>Otro Ing</t>
  </si>
  <si>
    <t>Cuentas Bancarias</t>
  </si>
  <si>
    <t>Interbank - Cuenta Simple</t>
  </si>
  <si>
    <t>Scotiabank</t>
  </si>
  <si>
    <t>Interbank - Cuenta Crédito (Gastado)</t>
  </si>
  <si>
    <t>Interbank - Cuenta Crédito</t>
  </si>
  <si>
    <t>Ripley - Cuenta Crédito (Gastado)</t>
  </si>
  <si>
    <t>Ripley - Cuenta Crédito</t>
  </si>
  <si>
    <t>BBVA - Cuenta Crédito (Gastado)</t>
  </si>
  <si>
    <t>BBVA - Cuenta Crédito</t>
  </si>
  <si>
    <t>BBVA - Cuenta Debito (Soles)</t>
  </si>
  <si>
    <t>BBVA - Cuenta Debito (Dolares)</t>
  </si>
  <si>
    <t>BCP - Cuenta Debito</t>
  </si>
  <si>
    <t>Suministros de Servicios</t>
  </si>
  <si>
    <t>Efectivo</t>
  </si>
  <si>
    <t>Luz - PLUZ</t>
  </si>
  <si>
    <t>Gas Natural</t>
  </si>
  <si>
    <t>Cuentas Bancarias (Ahorro / Reserva)</t>
  </si>
  <si>
    <t>Mantenimiento - Agua</t>
  </si>
  <si>
    <t>CtaN°</t>
  </si>
  <si>
    <t>Deuda</t>
  </si>
  <si>
    <t>AFP - Integra</t>
  </si>
  <si>
    <t>Interbank - Alcancía</t>
  </si>
  <si>
    <t>Cuentas Anexadas</t>
  </si>
  <si>
    <t>Entidad</t>
  </si>
  <si>
    <t>Interbank - Servicios</t>
  </si>
  <si>
    <t>Apple</t>
  </si>
  <si>
    <t>Interbank</t>
  </si>
  <si>
    <t>Interbank - Viaje</t>
  </si>
  <si>
    <t>Mercado Libre</t>
  </si>
  <si>
    <t>Interbank Amex</t>
  </si>
  <si>
    <t>Interbank - Titulación</t>
  </si>
  <si>
    <t>Mercado Pago</t>
  </si>
  <si>
    <t>Spotify</t>
  </si>
  <si>
    <t>Meta</t>
  </si>
  <si>
    <t>Uber</t>
  </si>
  <si>
    <t>Pagado</t>
  </si>
  <si>
    <t>Debo o Debe</t>
  </si>
  <si>
    <t>DidiFood</t>
  </si>
  <si>
    <t>Interbank - Madre [5 meses]</t>
  </si>
  <si>
    <t>Prestamo BCP [12 meses]</t>
  </si>
  <si>
    <t>Prestamo Yape [6 meses]</t>
  </si>
  <si>
    <t>iPhone 16 [12 meses]</t>
  </si>
  <si>
    <t>Debo (Pendiente)</t>
  </si>
  <si>
    <t>Padre</t>
  </si>
  <si>
    <t>Piero</t>
  </si>
  <si>
    <t>Fecha</t>
  </si>
  <si>
    <t>Categoría</t>
  </si>
  <si>
    <t>Mes</t>
  </si>
  <si>
    <t>Bonificación Ahorro</t>
  </si>
  <si>
    <t>Internet</t>
  </si>
  <si>
    <t>Luz</t>
  </si>
  <si>
    <t>Gas</t>
  </si>
  <si>
    <t>Agua + Mantenimiento</t>
  </si>
  <si>
    <t>Comida</t>
  </si>
  <si>
    <t>iCloud</t>
  </si>
  <si>
    <t>Telefonia Movil</t>
  </si>
  <si>
    <t>IA</t>
  </si>
  <si>
    <t>Corte de Cabello</t>
  </si>
  <si>
    <t>Pago de Tarjeta BBVA Bfree</t>
  </si>
  <si>
    <t>Tarjeta</t>
  </si>
  <si>
    <t>Linea Tarjeta</t>
  </si>
  <si>
    <t>BBVA Bfree</t>
  </si>
  <si>
    <t>Transporte</t>
  </si>
  <si>
    <t>Salida Familiar</t>
  </si>
  <si>
    <t>Chifa</t>
  </si>
  <si>
    <t>Broaster</t>
  </si>
  <si>
    <t>Dulce</t>
  </si>
  <si>
    <t>Concierto Bad Bunny</t>
  </si>
  <si>
    <t>Medicinas</t>
  </si>
  <si>
    <t>Cumpleaños Fatima</t>
  </si>
  <si>
    <t>Cumpleaños</t>
  </si>
  <si>
    <t>Pollo a la Brasa</t>
  </si>
  <si>
    <t>Madre</t>
  </si>
  <si>
    <t>Desvagramen</t>
  </si>
  <si>
    <t>Alcohol</t>
  </si>
  <si>
    <t>Polo y/o Camisa</t>
  </si>
  <si>
    <t>Yape Crédito</t>
  </si>
  <si>
    <t>Shawarma</t>
  </si>
  <si>
    <t>Videojuegos</t>
  </si>
  <si>
    <t>Makis</t>
  </si>
  <si>
    <t>Futbol</t>
  </si>
  <si>
    <t>Tacos</t>
  </si>
  <si>
    <t>Mercado</t>
  </si>
  <si>
    <t>Viaje Argentina</t>
  </si>
  <si>
    <t>Condones</t>
  </si>
  <si>
    <t>Utencilios de Limpieza</t>
  </si>
  <si>
    <t>Pasaporte</t>
  </si>
  <si>
    <t>Empanada</t>
  </si>
  <si>
    <t>DNI Electronico</t>
  </si>
  <si>
    <t>Chicharron</t>
  </si>
  <si>
    <t>Propina</t>
  </si>
  <si>
    <t>Temu</t>
  </si>
  <si>
    <t>AFP</t>
  </si>
  <si>
    <t>Gorra</t>
  </si>
  <si>
    <t>Zapatillas</t>
  </si>
  <si>
    <t>Salida Casual</t>
  </si>
  <si>
    <t>Yogurt</t>
  </si>
  <si>
    <t>Venta de iPhone</t>
  </si>
  <si>
    <t>Concierto Paulo Londra</t>
  </si>
  <si>
    <t>Mili</t>
  </si>
  <si>
    <t>Cigarro</t>
  </si>
  <si>
    <t>Ceviche</t>
  </si>
  <si>
    <t>Concierto Rawayana</t>
  </si>
  <si>
    <t>Concierto Milo J</t>
  </si>
  <si>
    <t>Aaron</t>
  </si>
  <si>
    <t>Maleta</t>
  </si>
  <si>
    <t>Cumpleaños Abuela</t>
  </si>
  <si>
    <t>Pantalones y Shorts</t>
  </si>
  <si>
    <t>Café</t>
  </si>
  <si>
    <t>Streaming</t>
  </si>
  <si>
    <t>Abrigos</t>
  </si>
  <si>
    <t>Jacko</t>
  </si>
  <si>
    <t>Cumpleaños Madre</t>
  </si>
  <si>
    <t>Hamburguesa</t>
  </si>
  <si>
    <t>Pago de Tarjeta Interbank Amex</t>
  </si>
  <si>
    <t>iPhone 16</t>
  </si>
  <si>
    <t>Viaje Laraos</t>
  </si>
  <si>
    <t>Viaje Piura</t>
  </si>
  <si>
    <t>Viaje Raura</t>
  </si>
  <si>
    <t>Psicologo</t>
  </si>
  <si>
    <t>Mayra</t>
  </si>
  <si>
    <t>Cumpleaños Adriano</t>
  </si>
  <si>
    <t>Hotel</t>
  </si>
  <si>
    <t>Cumpleaños Alondra</t>
  </si>
  <si>
    <t>Milagros</t>
  </si>
  <si>
    <t>BCP</t>
  </si>
  <si>
    <t>Cumpleaños Beu</t>
  </si>
  <si>
    <t>Cine</t>
  </si>
  <si>
    <t>Dia del Trabajador</t>
  </si>
  <si>
    <t>Dia de la Madre</t>
  </si>
  <si>
    <t>Entrada Estadio</t>
  </si>
  <si>
    <t>CTS</t>
  </si>
  <si>
    <t>Titulación</t>
  </si>
  <si>
    <t>Concierto  Soda Stereo</t>
  </si>
  <si>
    <t>Carol</t>
  </si>
  <si>
    <t>Apuestas</t>
  </si>
  <si>
    <t>Ripley</t>
  </si>
  <si>
    <t>Tatuaje</t>
  </si>
  <si>
    <t>Bowling</t>
  </si>
  <si>
    <t>Cumpleaños Padre</t>
  </si>
  <si>
    <t>Prestamo BCP</t>
  </si>
  <si>
    <t>Prestamo Yape</t>
  </si>
  <si>
    <t>Figuritas</t>
  </si>
  <si>
    <t xml:space="preserve">Dollarcity </t>
  </si>
  <si>
    <t>Seguro Rimac</t>
  </si>
  <si>
    <t>Gratificación</t>
  </si>
  <si>
    <t>Viaje Brasil</t>
  </si>
  <si>
    <t>Concierto Trueno</t>
  </si>
  <si>
    <t>Presupuesto Fijo Mensual</t>
  </si>
  <si>
    <t>Pago de Tarjeta Ripley</t>
  </si>
  <si>
    <t>Perfume</t>
  </si>
  <si>
    <t>Mayonesa</t>
  </si>
  <si>
    <t>Poster</t>
  </si>
  <si>
    <t>Debito</t>
  </si>
  <si>
    <t>Credito</t>
  </si>
  <si>
    <t>Saldo Final</t>
  </si>
  <si>
    <t>Entrada Paulo Londra</t>
  </si>
  <si>
    <t>Pastilla Madre</t>
  </si>
  <si>
    <t>Probabilidad</t>
  </si>
  <si>
    <t>Daniel</t>
  </si>
  <si>
    <t>Ahorro</t>
  </si>
  <si>
    <t>SubConcepto</t>
  </si>
  <si>
    <t>Conciertos</t>
  </si>
  <si>
    <t>Bad Bunny</t>
  </si>
  <si>
    <t>Viajes</t>
  </si>
  <si>
    <t>Laraos</t>
  </si>
  <si>
    <t>Argentina</t>
  </si>
  <si>
    <t>Raura</t>
  </si>
  <si>
    <t>Piura</t>
  </si>
  <si>
    <t>Milo J</t>
  </si>
  <si>
    <t>Cieneguilla</t>
  </si>
  <si>
    <t>Soda Stereo</t>
  </si>
  <si>
    <t>Rawayana</t>
  </si>
  <si>
    <t>Paulo Londra</t>
  </si>
  <si>
    <t>Brasil</t>
  </si>
  <si>
    <t>(Todas)</t>
  </si>
  <si>
    <t>Suma de Monto</t>
  </si>
  <si>
    <t>Etiquetas de columna</t>
  </si>
  <si>
    <t>Etiquetas de fila</t>
  </si>
  <si>
    <t>Total general</t>
  </si>
  <si>
    <t>Desde el 28/08 Todo se considera como Setiembre</t>
  </si>
  <si>
    <t>Agua Mineral</t>
  </si>
  <si>
    <t>Utencilios de Aseo Personal</t>
  </si>
  <si>
    <t>Gaseosa</t>
  </si>
  <si>
    <t>Tortes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</si>
</sst>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S/&quot;\ * #,##0.00_-;\-&quot;S/&quot;\ * #,##0.00_-;_-&quot;S/&quot;\ * &quot;-&quot;??_-;_-@_-"/>
    <numFmt numFmtId="164" formatCode="&quot;S/&quot;\ #,##0.00"/>
    <numFmt numFmtId="165" formatCode="[$$-540A]#,##0.00_ ;\-[$$-540A]#,##0.00\ 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Nirmala Text"/>
      <family val="2"/>
    </font>
    <font>
      <i/>
      <sz val="11"/>
      <color theme="0" tint="-0.499984740745262"/>
      <name val="Nirmala Text"/>
      <family val="2"/>
    </font>
    <font>
      <sz val="8"/>
      <name val="Calibri"/>
      <family val="2"/>
      <scheme val="minor"/>
    </font>
    <font>
      <sz val="10"/>
      <color theme="1"/>
      <name val="Nirmala Text"/>
      <family val="2"/>
    </font>
    <font>
      <b/>
      <sz val="10"/>
      <color theme="1"/>
      <name val="Nirmala Text"/>
      <family val="2"/>
    </font>
    <font>
      <sz val="10"/>
      <color theme="6" tint="-0.499984740745262"/>
      <name val="Nirmala Text"/>
      <family val="2"/>
    </font>
    <font>
      <b/>
      <sz val="14"/>
      <color theme="0" tint="-0.499984740745262"/>
      <name val="Nirmala Text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Bierstadt Display"/>
      <family val="2"/>
    </font>
    <font>
      <b/>
      <sz val="11"/>
      <color theme="0"/>
      <name val="Bierstadt Display"/>
      <family val="2"/>
    </font>
    <font>
      <b/>
      <sz val="10"/>
      <color theme="1"/>
      <name val="Arial"/>
      <family val="2"/>
    </font>
    <font>
      <b/>
      <sz val="10"/>
      <color theme="0"/>
      <name val="Nirmala Text"/>
      <family val="2"/>
    </font>
    <font>
      <b/>
      <sz val="11"/>
      <name val="Bierstadt Display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sz val="11"/>
      <name val="Calibri"/>
      <family val="2"/>
      <scheme val="minor"/>
    </font>
    <font>
      <b/>
      <sz val="11"/>
      <color theme="1"/>
      <name val="Nirmala Text"/>
      <family val="2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Arial"/>
    </font>
    <font>
      <b/>
      <sz val="10"/>
      <color theme="1"/>
      <name val="Nirmala Text"/>
    </font>
    <font>
      <u/>
      <sz val="11"/>
      <color theme="1"/>
      <name val="Calibri"/>
      <family val="2"/>
      <scheme val="minor"/>
    </font>
    <font>
      <sz val="11"/>
      <color theme="1"/>
      <name val="Bierstadt Display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B45F0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theme="9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D9AEE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8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  <xf numFmtId="0" fontId="6" fillId="0" borderId="0" xfId="0" applyFont="1"/>
    <xf numFmtId="44" fontId="5" fillId="3" borderId="5" xfId="1" applyFont="1" applyFill="1" applyBorder="1"/>
    <xf numFmtId="0" fontId="5" fillId="0" borderId="6" xfId="0" applyFont="1" applyBorder="1"/>
    <xf numFmtId="0" fontId="5" fillId="3" borderId="2" xfId="0" applyFont="1" applyFill="1" applyBorder="1"/>
    <xf numFmtId="44" fontId="7" fillId="3" borderId="5" xfId="1" applyFont="1" applyFill="1" applyBorder="1"/>
    <xf numFmtId="44" fontId="0" fillId="0" borderId="3" xfId="1" applyFont="1" applyBorder="1"/>
    <xf numFmtId="0" fontId="2" fillId="0" borderId="0" xfId="0" applyFont="1" applyAlignment="1">
      <alignment vertical="center"/>
    </xf>
    <xf numFmtId="44" fontId="0" fillId="0" borderId="8" xfId="1" applyFont="1" applyBorder="1"/>
    <xf numFmtId="44" fontId="7" fillId="3" borderId="10" xfId="1" applyFont="1" applyFill="1" applyBorder="1"/>
    <xf numFmtId="0" fontId="5" fillId="3" borderId="9" xfId="0" applyFont="1" applyFill="1" applyBorder="1"/>
    <xf numFmtId="15" fontId="2" fillId="0" borderId="0" xfId="0" applyNumberFormat="1" applyFont="1"/>
    <xf numFmtId="44" fontId="0" fillId="0" borderId="0" xfId="0" applyNumberFormat="1"/>
    <xf numFmtId="0" fontId="11" fillId="0" borderId="0" xfId="0" applyFont="1"/>
    <xf numFmtId="44" fontId="11" fillId="0" borderId="0" xfId="0" applyNumberFormat="1" applyFont="1"/>
    <xf numFmtId="44" fontId="2" fillId="0" borderId="0" xfId="0" applyNumberFormat="1" applyFont="1"/>
    <xf numFmtId="0" fontId="8" fillId="0" borderId="0" xfId="0" applyFont="1" applyAlignment="1">
      <alignment horizontal="left"/>
    </xf>
    <xf numFmtId="0" fontId="14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14" fontId="11" fillId="0" borderId="0" xfId="0" applyNumberFormat="1" applyFont="1"/>
    <xf numFmtId="0" fontId="14" fillId="8" borderId="5" xfId="0" applyFont="1" applyFill="1" applyBorder="1" applyAlignment="1">
      <alignment horizontal="left" vertical="center"/>
    </xf>
    <xf numFmtId="0" fontId="2" fillId="0" borderId="6" xfId="0" applyFont="1" applyBorder="1"/>
    <xf numFmtId="14" fontId="12" fillId="11" borderId="2" xfId="0" applyNumberFormat="1" applyFont="1" applyFill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164" fontId="12" fillId="11" borderId="2" xfId="0" applyNumberFormat="1" applyFont="1" applyFill="1" applyBorder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9" borderId="2" xfId="0" applyFill="1" applyBorder="1"/>
    <xf numFmtId="0" fontId="0" fillId="0" borderId="2" xfId="0" applyBorder="1"/>
    <xf numFmtId="0" fontId="5" fillId="0" borderId="11" xfId="0" applyFont="1" applyBorder="1"/>
    <xf numFmtId="0" fontId="5" fillId="0" borderId="12" xfId="0" applyFont="1" applyBorder="1"/>
    <xf numFmtId="44" fontId="6" fillId="7" borderId="13" xfId="0" applyNumberFormat="1" applyFont="1" applyFill="1" applyBorder="1" applyAlignment="1">
      <alignment horizontal="center" vertical="center"/>
    </xf>
    <xf numFmtId="44" fontId="6" fillId="7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44" fontId="6" fillId="13" borderId="2" xfId="0" applyNumberFormat="1" applyFont="1" applyFill="1" applyBorder="1" applyAlignment="1">
      <alignment horizontal="center" vertical="center"/>
    </xf>
    <xf numFmtId="164" fontId="0" fillId="12" borderId="2" xfId="0" applyNumberFormat="1" applyFill="1" applyBorder="1"/>
    <xf numFmtId="0" fontId="13" fillId="18" borderId="7" xfId="0" applyFont="1" applyFill="1" applyBorder="1" applyAlignment="1">
      <alignment horizontal="left" wrapText="1"/>
    </xf>
    <xf numFmtId="0" fontId="13" fillId="18" borderId="5" xfId="0" applyFont="1" applyFill="1" applyBorder="1" applyAlignment="1">
      <alignment horizontal="left" wrapText="1"/>
    </xf>
    <xf numFmtId="14" fontId="19" fillId="10" borderId="2" xfId="0" applyNumberFormat="1" applyFont="1" applyFill="1" applyBorder="1" applyAlignment="1">
      <alignment horizontal="center" vertical="center"/>
    </xf>
    <xf numFmtId="0" fontId="19" fillId="10" borderId="2" xfId="0" applyFont="1" applyFill="1" applyBorder="1" applyAlignment="1">
      <alignment horizontal="center" vertical="center"/>
    </xf>
    <xf numFmtId="164" fontId="19" fillId="10" borderId="2" xfId="0" applyNumberFormat="1" applyFont="1" applyFill="1" applyBorder="1" applyAlignment="1">
      <alignment horizontal="center" vertical="center"/>
    </xf>
    <xf numFmtId="14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164" fontId="0" fillId="10" borderId="2" xfId="0" applyNumberFormat="1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64" fontId="0" fillId="8" borderId="2" xfId="0" applyNumberFormat="1" applyFill="1" applyBorder="1" applyAlignment="1">
      <alignment horizontal="center" vertical="center"/>
    </xf>
    <xf numFmtId="0" fontId="18" fillId="17" borderId="7" xfId="0" applyFont="1" applyFill="1" applyBorder="1" applyAlignment="1">
      <alignment wrapText="1"/>
    </xf>
    <xf numFmtId="0" fontId="18" fillId="17" borderId="5" xfId="0" applyFont="1" applyFill="1" applyBorder="1" applyAlignment="1">
      <alignment wrapText="1"/>
    </xf>
    <xf numFmtId="0" fontId="18" fillId="19" borderId="7" xfId="0" applyFont="1" applyFill="1" applyBorder="1" applyAlignment="1">
      <alignment wrapText="1"/>
    </xf>
    <xf numFmtId="0" fontId="18" fillId="19" borderId="5" xfId="0" applyFont="1" applyFill="1" applyBorder="1" applyAlignment="1">
      <alignment wrapText="1"/>
    </xf>
    <xf numFmtId="44" fontId="6" fillId="21" borderId="2" xfId="0" applyNumberFormat="1" applyFont="1" applyFill="1" applyBorder="1" applyAlignment="1">
      <alignment horizontal="center" vertical="center"/>
    </xf>
    <xf numFmtId="44" fontId="6" fillId="22" borderId="2" xfId="0" applyNumberFormat="1" applyFont="1" applyFill="1" applyBorder="1" applyAlignment="1">
      <alignment horizontal="center" vertical="center"/>
    </xf>
    <xf numFmtId="165" fontId="6" fillId="22" borderId="2" xfId="0" applyNumberFormat="1" applyFont="1" applyFill="1" applyBorder="1" applyAlignment="1">
      <alignment horizontal="center" vertical="center"/>
    </xf>
    <xf numFmtId="0" fontId="21" fillId="0" borderId="0" xfId="0" applyFont="1"/>
    <xf numFmtId="0" fontId="9" fillId="5" borderId="2" xfId="0" applyFont="1" applyFill="1" applyBorder="1"/>
    <xf numFmtId="0" fontId="9" fillId="23" borderId="2" xfId="0" applyFont="1" applyFill="1" applyBorder="1"/>
    <xf numFmtId="164" fontId="0" fillId="7" borderId="2" xfId="0" applyNumberFormat="1" applyFill="1" applyBorder="1"/>
    <xf numFmtId="0" fontId="2" fillId="7" borderId="2" xfId="0" applyFont="1" applyFill="1" applyBorder="1" applyAlignment="1">
      <alignment vertical="center"/>
    </xf>
    <xf numFmtId="14" fontId="19" fillId="8" borderId="2" xfId="0" applyNumberFormat="1" applyFont="1" applyFill="1" applyBorder="1" applyAlignment="1">
      <alignment horizontal="center" vertical="center"/>
    </xf>
    <xf numFmtId="164" fontId="19" fillId="8" borderId="2" xfId="0" applyNumberFormat="1" applyFont="1" applyFill="1" applyBorder="1" applyAlignment="1">
      <alignment horizontal="center" vertical="center"/>
    </xf>
    <xf numFmtId="0" fontId="19" fillId="8" borderId="2" xfId="0" applyFont="1" applyFill="1" applyBorder="1" applyAlignment="1">
      <alignment horizontal="center" vertical="center"/>
    </xf>
    <xf numFmtId="0" fontId="20" fillId="7" borderId="2" xfId="0" applyFont="1" applyFill="1" applyBorder="1" applyAlignment="1">
      <alignment vertical="center"/>
    </xf>
    <xf numFmtId="0" fontId="0" fillId="0" borderId="0" xfId="0" applyAlignment="1">
      <alignment wrapText="1"/>
    </xf>
    <xf numFmtId="0" fontId="22" fillId="24" borderId="14" xfId="0" applyFont="1" applyFill="1" applyBorder="1"/>
    <xf numFmtId="0" fontId="0" fillId="25" borderId="14" xfId="0" applyFill="1" applyBorder="1"/>
    <xf numFmtId="14" fontId="0" fillId="25" borderId="14" xfId="0" applyNumberFormat="1" applyFill="1" applyBorder="1"/>
    <xf numFmtId="164" fontId="0" fillId="25" borderId="14" xfId="0" applyNumberFormat="1" applyFill="1" applyBorder="1"/>
    <xf numFmtId="14" fontId="0" fillId="0" borderId="0" xfId="0" applyNumberFormat="1"/>
    <xf numFmtId="0" fontId="0" fillId="25" borderId="0" xfId="0" applyFill="1"/>
    <xf numFmtId="14" fontId="0" fillId="25" borderId="0" xfId="0" applyNumberFormat="1" applyFill="1"/>
    <xf numFmtId="164" fontId="0" fillId="25" borderId="0" xfId="0" applyNumberFormat="1" applyFill="1"/>
    <xf numFmtId="0" fontId="0" fillId="25" borderId="15" xfId="0" applyFill="1" applyBorder="1"/>
    <xf numFmtId="14" fontId="0" fillId="25" borderId="15" xfId="0" applyNumberFormat="1" applyFill="1" applyBorder="1"/>
    <xf numFmtId="164" fontId="0" fillId="25" borderId="15" xfId="0" applyNumberFormat="1" applyFill="1" applyBorder="1"/>
    <xf numFmtId="0" fontId="25" fillId="0" borderId="0" xfId="0" applyFont="1"/>
    <xf numFmtId="44" fontId="6" fillId="27" borderId="2" xfId="0" applyNumberFormat="1" applyFont="1" applyFill="1" applyBorder="1" applyAlignment="1">
      <alignment horizontal="center" vertical="center"/>
    </xf>
    <xf numFmtId="0" fontId="0" fillId="10" borderId="2" xfId="0" applyFill="1" applyBorder="1"/>
    <xf numFmtId="164" fontId="0" fillId="13" borderId="2" xfId="0" applyNumberFormat="1" applyFill="1" applyBorder="1"/>
    <xf numFmtId="44" fontId="24" fillId="7" borderId="2" xfId="0" applyNumberFormat="1" applyFont="1" applyFill="1" applyBorder="1" applyAlignment="1">
      <alignment horizontal="center" vertical="center"/>
    </xf>
    <xf numFmtId="0" fontId="26" fillId="0" borderId="0" xfId="0" applyFont="1"/>
    <xf numFmtId="0" fontId="0" fillId="8" borderId="7" xfId="0" applyFill="1" applyBorder="1"/>
    <xf numFmtId="0" fontId="0" fillId="8" borderId="4" xfId="0" applyFill="1" applyBorder="1"/>
    <xf numFmtId="0" fontId="0" fillId="0" borderId="0" xfId="0" applyAlignment="1">
      <alignment horizontal="left" indent="1"/>
    </xf>
    <xf numFmtId="0" fontId="13" fillId="5" borderId="7" xfId="0" applyFont="1" applyFill="1" applyBorder="1" applyAlignment="1">
      <alignment wrapText="1"/>
    </xf>
    <xf numFmtId="0" fontId="13" fillId="5" borderId="5" xfId="0" applyFont="1" applyFill="1" applyBorder="1" applyAlignment="1">
      <alignment wrapText="1"/>
    </xf>
    <xf numFmtId="0" fontId="13" fillId="15" borderId="7" xfId="0" applyFont="1" applyFill="1" applyBorder="1" applyAlignment="1">
      <alignment wrapText="1"/>
    </xf>
    <xf numFmtId="0" fontId="13" fillId="15" borderId="5" xfId="0" applyFont="1" applyFill="1" applyBorder="1" applyAlignment="1">
      <alignment wrapText="1"/>
    </xf>
    <xf numFmtId="44" fontId="6" fillId="4" borderId="2" xfId="0" applyNumberFormat="1" applyFont="1" applyFill="1" applyBorder="1" applyAlignment="1">
      <alignment horizontal="center" vertical="center"/>
    </xf>
    <xf numFmtId="0" fontId="18" fillId="16" borderId="7" xfId="0" applyFont="1" applyFill="1" applyBorder="1" applyAlignment="1">
      <alignment wrapText="1"/>
    </xf>
    <xf numFmtId="0" fontId="18" fillId="16" borderId="5" xfId="0" applyFont="1" applyFill="1" applyBorder="1" applyAlignment="1">
      <alignment wrapText="1"/>
    </xf>
    <xf numFmtId="0" fontId="8" fillId="0" borderId="1" xfId="0" applyFont="1" applyBorder="1" applyAlignment="1">
      <alignment horizontal="left"/>
    </xf>
    <xf numFmtId="0" fontId="14" fillId="8" borderId="7" xfId="0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0" fontId="18" fillId="16" borderId="7" xfId="0" applyFont="1" applyFill="1" applyBorder="1" applyAlignment="1">
      <alignment wrapText="1"/>
    </xf>
    <xf numFmtId="0" fontId="18" fillId="16" borderId="5" xfId="0" applyFont="1" applyFill="1" applyBorder="1" applyAlignment="1">
      <alignment wrapText="1"/>
    </xf>
    <xf numFmtId="44" fontId="0" fillId="0" borderId="2" xfId="1" applyFont="1" applyBorder="1" applyAlignment="1">
      <alignment horizontal="center"/>
    </xf>
    <xf numFmtId="0" fontId="13" fillId="6" borderId="7" xfId="0" applyFont="1" applyFill="1" applyBorder="1" applyAlignment="1">
      <alignment horizontal="center" wrapText="1"/>
    </xf>
    <xf numFmtId="0" fontId="13" fillId="6" borderId="4" xfId="0" applyFont="1" applyFill="1" applyBorder="1" applyAlignment="1">
      <alignment horizontal="center" wrapText="1"/>
    </xf>
    <xf numFmtId="0" fontId="13" fillId="6" borderId="5" xfId="0" applyFont="1" applyFill="1" applyBorder="1" applyAlignment="1">
      <alignment horizontal="center" wrapText="1"/>
    </xf>
    <xf numFmtId="0" fontId="18" fillId="14" borderId="7" xfId="0" applyFont="1" applyFill="1" applyBorder="1" applyAlignment="1">
      <alignment wrapText="1"/>
    </xf>
    <xf numFmtId="0" fontId="18" fillId="14" borderId="5" xfId="0" applyFont="1" applyFill="1" applyBorder="1" applyAlignment="1">
      <alignment wrapText="1"/>
    </xf>
    <xf numFmtId="0" fontId="13" fillId="15" borderId="7" xfId="0" applyFont="1" applyFill="1" applyBorder="1" applyAlignment="1">
      <alignment wrapText="1"/>
    </xf>
    <xf numFmtId="0" fontId="13" fillId="15" borderId="5" xfId="0" applyFont="1" applyFill="1" applyBorder="1" applyAlignment="1">
      <alignment wrapText="1"/>
    </xf>
    <xf numFmtId="0" fontId="18" fillId="20" borderId="7" xfId="0" applyFont="1" applyFill="1" applyBorder="1" applyAlignment="1">
      <alignment wrapText="1"/>
    </xf>
    <xf numFmtId="0" fontId="18" fillId="20" borderId="5" xfId="0" applyFont="1" applyFill="1" applyBorder="1" applyAlignment="1">
      <alignment wrapText="1"/>
    </xf>
    <xf numFmtId="44" fontId="6" fillId="4" borderId="2" xfId="0" applyNumberFormat="1" applyFont="1" applyFill="1" applyBorder="1" applyAlignment="1">
      <alignment horizontal="center" vertical="center"/>
    </xf>
    <xf numFmtId="0" fontId="18" fillId="26" borderId="7" xfId="0" applyFont="1" applyFill="1" applyBorder="1" applyAlignment="1">
      <alignment wrapText="1"/>
    </xf>
    <xf numFmtId="0" fontId="18" fillId="26" borderId="5" xfId="0" applyFont="1" applyFill="1" applyBorder="1" applyAlignment="1">
      <alignment wrapText="1"/>
    </xf>
    <xf numFmtId="0" fontId="13" fillId="5" borderId="7" xfId="0" applyFont="1" applyFill="1" applyBorder="1" applyAlignment="1">
      <alignment wrapText="1"/>
    </xf>
    <xf numFmtId="0" fontId="13" fillId="5" borderId="5" xfId="0" applyFont="1" applyFill="1" applyBorder="1" applyAlignment="1">
      <alignment wrapText="1"/>
    </xf>
    <xf numFmtId="0" fontId="18" fillId="8" borderId="7" xfId="0" applyFont="1" applyFill="1" applyBorder="1" applyAlignment="1">
      <alignment horizontal="center" vertical="center" wrapText="1"/>
    </xf>
    <xf numFmtId="0" fontId="18" fillId="8" borderId="4" xfId="0" applyFont="1" applyFill="1" applyBorder="1" applyAlignment="1">
      <alignment horizontal="center" vertical="center" wrapText="1"/>
    </xf>
    <xf numFmtId="0" fontId="18" fillId="8" borderId="5" xfId="0" applyFont="1" applyFill="1" applyBorder="1" applyAlignment="1">
      <alignment horizontal="center" vertical="center" wrapText="1"/>
    </xf>
    <xf numFmtId="0" fontId="18" fillId="8" borderId="7" xfId="0" applyFont="1" applyFill="1" applyBorder="1" applyAlignment="1">
      <alignment horizontal="center" wrapText="1"/>
    </xf>
    <xf numFmtId="0" fontId="18" fillId="8" borderId="4" xfId="0" applyFont="1" applyFill="1" applyBorder="1" applyAlignment="1">
      <alignment horizontal="center" wrapText="1"/>
    </xf>
    <xf numFmtId="0" fontId="18" fillId="8" borderId="5" xfId="0" applyFont="1" applyFill="1" applyBorder="1" applyAlignment="1">
      <alignment horizontal="center" wrapText="1"/>
    </xf>
    <xf numFmtId="0" fontId="23" fillId="5" borderId="7" xfId="0" applyFont="1" applyFill="1" applyBorder="1" applyAlignment="1">
      <alignment wrapText="1"/>
    </xf>
    <xf numFmtId="0" fontId="23" fillId="5" borderId="5" xfId="0" applyFont="1" applyFill="1" applyBorder="1" applyAlignment="1">
      <alignment wrapText="1"/>
    </xf>
    <xf numFmtId="0" fontId="10" fillId="5" borderId="7" xfId="0" applyFont="1" applyFill="1" applyBorder="1" applyAlignment="1">
      <alignment wrapText="1"/>
    </xf>
    <xf numFmtId="0" fontId="10" fillId="5" borderId="5" xfId="0" applyFont="1" applyFill="1" applyBorder="1" applyAlignment="1">
      <alignment wrapText="1"/>
    </xf>
    <xf numFmtId="0" fontId="10" fillId="19" borderId="7" xfId="0" applyFont="1" applyFill="1" applyBorder="1" applyAlignment="1">
      <alignment wrapText="1"/>
    </xf>
    <xf numFmtId="0" fontId="10" fillId="19" borderId="5" xfId="0" applyFont="1" applyFill="1" applyBorder="1" applyAlignment="1">
      <alignment wrapText="1"/>
    </xf>
    <xf numFmtId="0" fontId="15" fillId="11" borderId="7" xfId="0" applyFont="1" applyFill="1" applyBorder="1" applyAlignment="1">
      <alignment horizontal="center"/>
    </xf>
    <xf numFmtId="0" fontId="15" fillId="11" borderId="4" xfId="0" applyFont="1" applyFill="1" applyBorder="1" applyAlignment="1">
      <alignment horizontal="center"/>
    </xf>
    <xf numFmtId="0" fontId="15" fillId="11" borderId="5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 wrapText="1"/>
    </xf>
    <xf numFmtId="0" fontId="15" fillId="11" borderId="4" xfId="0" applyFont="1" applyFill="1" applyBorder="1" applyAlignment="1">
      <alignment horizontal="center" wrapText="1"/>
    </xf>
    <xf numFmtId="0" fontId="15" fillId="11" borderId="5" xfId="0" applyFont="1" applyFill="1" applyBorder="1" applyAlignment="1">
      <alignment horizontal="center" wrapText="1"/>
    </xf>
    <xf numFmtId="14" fontId="9" fillId="2" borderId="2" xfId="0" applyNumberFormat="1" applyFont="1" applyFill="1" applyBorder="1" applyAlignment="1">
      <alignment horizontal="center"/>
    </xf>
    <xf numFmtId="0" fontId="15" fillId="11" borderId="2" xfId="0" applyFont="1" applyFill="1" applyBorder="1" applyAlignment="1">
      <alignment horizontal="center" wrapText="1"/>
    </xf>
    <xf numFmtId="0" fontId="11" fillId="0" borderId="0" xfId="0" applyNumberFormat="1" applyFont="1"/>
  </cellXfs>
  <cellStyles count="2">
    <cellStyle name="Moneda" xfId="1" builtinId="4"/>
    <cellStyle name="Normal" xfId="0" builtinId="0"/>
  </cellStyles>
  <dxfs count="51"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 val="0"/>
        <i val="0"/>
        <color theme="1"/>
      </font>
      <fill>
        <patternFill>
          <bgColor rgb="FFFFC000"/>
        </patternFill>
      </fill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numFmt numFmtId="0" formatCode="General"/>
    </dxf>
    <dxf>
      <numFmt numFmtId="164" formatCode="&quot;S/&quot;\ #,##0.00"/>
    </dxf>
    <dxf>
      <numFmt numFmtId="164" formatCode="&quot;S/&quot;\ #,##0.00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34" formatCode="_-&quot;S/&quot;\ * #,##0.00_-;\-&quot;S/&quot;\ * #,##0.00_-;_-&quot;S/&quot;\ * &quot;-&quot;??_-;_-@_-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19" formatCode="d/mm/yyyy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Bierstadt Display"/>
        <family val="2"/>
        <scheme val="none"/>
      </font>
    </dxf>
  </dxfs>
  <tableStyles count="0" defaultTableStyle="TableStyleMedium2" defaultPivotStyle="PivotStyleLight16"/>
  <colors>
    <mruColors>
      <color rgb="FFD9AEE6"/>
      <color rgb="FFFF5050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Gasto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Estadistica!$N$8</c:f>
              <c:strCache>
                <c:ptCount val="1"/>
                <c:pt idx="0">
                  <c:v>Monto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Estadistica!$M$9:$M$32</c:f>
              <c:strCache>
                <c:ptCount val="3"/>
                <c:pt idx="0">
                  <c:v>Futbol</c:v>
                </c:pt>
                <c:pt idx="1">
                  <c:v>Gaseosa</c:v>
                </c:pt>
                <c:pt idx="2">
                  <c:v>Tortes</c:v>
                </c:pt>
              </c:strCache>
            </c:strRef>
          </c:cat>
          <c:val>
            <c:numRef>
              <c:f>Estadistica!$N$9:$N$32</c:f>
              <c:numCache>
                <c:formatCode>_("S/"* #,##0.00_);_("S/"* \(#,##0.00\);_("S/"* "-"??_);_(@_)</c:formatCode>
                <c:ptCount val="24"/>
                <c:pt idx="0">
                  <c:v>24.5</c:v>
                </c:pt>
                <c:pt idx="1">
                  <c:v>12.7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AC-49EB-B683-B722448A5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072863888"/>
        <c:axId val="1072862928"/>
      </c:barChart>
      <c:catAx>
        <c:axId val="1072863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72862928"/>
        <c:crosses val="autoZero"/>
        <c:auto val="1"/>
        <c:lblAlgn val="ctr"/>
        <c:lblOffset val="100"/>
        <c:noMultiLvlLbl val="0"/>
      </c:catAx>
      <c:valAx>
        <c:axId val="1072862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S/&quot;* #,##0.00_);_(&quot;S/&quot;* \(#,##0.00\);_(&quot;S/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72863888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>
      <a:outerShdw blurRad="50800" dist="38100" dir="5400000" algn="t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9525</xdr:rowOff>
    </xdr:from>
    <xdr:to>
      <xdr:col>0</xdr:col>
      <xdr:colOff>0</xdr:colOff>
      <xdr:row>0</xdr:row>
      <xdr:rowOff>9525</xdr:rowOff>
    </xdr:to>
    <xdr:graphicFrame macro="">
      <xdr:nvGraphicFramePr>
        <xdr:cNvPr id="5" name="Gráfico 1">
          <a:extLst>
            <a:ext uri="{FF2B5EF4-FFF2-40B4-BE49-F238E27FC236}">
              <a16:creationId xmlns:a16="http://schemas.microsoft.com/office/drawing/2014/main" id="{7B1AB2AF-BBFD-49D0-9ADC-0EBE53EC7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Romero" refreshedDate="46263.53461909722" createdVersion="8" refreshedVersion="8" minRefreshableVersion="3" recordCount="683" xr:uid="{8D205D11-ED80-45E3-8BEA-D437F8CCF95B}">
  <cacheSource type="worksheet">
    <worksheetSource name="Registro"/>
  </cacheSource>
  <cacheFields count="7">
    <cacheField name="Tipo" numFmtId="0">
      <sharedItems count="2">
        <s v="Ingreso"/>
        <s v="Egreso"/>
      </sharedItems>
    </cacheField>
    <cacheField name="Fecha" numFmtId="14">
      <sharedItems containsSemiMixedTypes="0" containsNonDate="0" containsDate="1" containsString="0" minDate="2026-01-01T00:00:00" maxDate="2026-09-24T00:00:00"/>
    </cacheField>
    <cacheField name="Categoría" numFmtId="0">
      <sharedItems count="8">
        <s v="Otro Ing"/>
        <s v="Sueldo"/>
        <s v="Servicio"/>
        <s v="Gasto"/>
        <s v="Tarjeta"/>
        <s v="Deuda"/>
        <s v="Otro Egre"/>
        <s v="Ahorro" u="1"/>
      </sharedItems>
    </cacheField>
    <cacheField name="Concepto" numFmtId="0">
      <sharedItems count="197">
        <s v="Bonificación Ahorro"/>
        <s v="Sueldo"/>
        <s v="Internet"/>
        <s v="Luz"/>
        <s v="Gas"/>
        <s v="Agua + Mantenimiento"/>
        <s v="Comida"/>
        <s v="iCloud"/>
        <s v="Telefonia Movil"/>
        <s v="IA"/>
        <s v="Corte de Cabello"/>
        <s v="Pago de Tarjeta BBVA Bfree"/>
        <s v="Linea Tarjeta"/>
        <s v="Transporte"/>
        <s v="Salida Familiar"/>
        <s v="Chifa"/>
        <s v="Bebidas"/>
        <s v="Broaster"/>
        <s v="Dulce"/>
        <s v="Concierto Bad Bunny"/>
        <s v="Medicinas"/>
        <s v="Spotify"/>
        <s v="Cumpleaños Fatima"/>
        <s v="Cumpleaños"/>
        <s v="Pollo a la Brasa"/>
        <s v="Madre"/>
        <s v="Desvagramen"/>
        <s v="Alcohol"/>
        <s v="Polo y/o Camisa"/>
        <s v="Yape Crédito"/>
        <s v="Shawarma"/>
        <s v="Videojuegos"/>
        <s v="Makis"/>
        <s v="Futbol"/>
        <s v="Tacos"/>
        <s v="Mercado"/>
        <s v="Viaje Argentina"/>
        <s v="Condones"/>
        <s v="Utencilios de Limpieza"/>
        <s v="Pasaporte"/>
        <s v="Empanada"/>
        <s v="DNI Electronico"/>
        <s v="Agua Mineral"/>
        <s v="Chicharron"/>
        <s v="Propina"/>
        <s v="Utencilios de Aseo Personal"/>
        <s v="Temu"/>
        <s v="AFP"/>
        <s v="Gorra"/>
        <s v="Zapatillas"/>
        <s v="Salida Casual"/>
        <s v="Yogurt"/>
        <s v="Venta de iPhone"/>
        <s v="Concierto Paulo Londra"/>
        <s v="Mili"/>
        <s v="Cigarro"/>
        <s v="Ceviche"/>
        <s v="Concierto Rawayana"/>
        <s v="Concierto Milo J"/>
        <s v="Aaron"/>
        <s v="Maleta"/>
        <s v="Cumpleaños Abuela"/>
        <s v="Pantalones y Shorts"/>
        <s v="Café"/>
        <s v="Streaming"/>
        <s v="Dollarcity "/>
        <s v="Abrigos"/>
        <s v="Jacko"/>
        <s v="Cumpleaños Madre"/>
        <s v="Hamburguesa"/>
        <s v="Pago de Tarjeta Interbank Amex"/>
        <s v="iPhone 16"/>
        <s v="Viaje Laraos"/>
        <s v="Viaje Piura"/>
        <s v="Viaje Raura"/>
        <s v="Psicologo"/>
        <s v="Mayra"/>
        <s v="Cumpleaños Adriano"/>
        <s v="Hotel"/>
        <s v="Cumpleaños Alondra"/>
        <s v="Milagros"/>
        <s v="Padre"/>
        <s v="Cumpleaños Beu"/>
        <s v="Cine"/>
        <s v="Dia del Trabajador"/>
        <s v="Dia de la Madre"/>
        <s v="Entrada Estadio"/>
        <s v="CTS"/>
        <s v="Titulación"/>
        <s v="Concierto  Soda Stereo"/>
        <s v="Carol"/>
        <s v="Apuestas"/>
        <s v="Tatuaje"/>
        <s v="Bowling"/>
        <s v="Cumpleaños Padre"/>
        <s v="Prestamo BCP"/>
        <s v="Prestamo Yape"/>
        <s v="Figuritas"/>
        <s v="Seguro Rimac"/>
        <s v="Gratificación"/>
        <s v="Viaje Brasil"/>
        <s v="Concierto Trueno"/>
        <s v="Pago de Tarjeta Ripley"/>
        <s v="Perfume"/>
        <s v="Mayonesa"/>
        <s v="Poster"/>
        <s v="Entrada Paulo Londra"/>
        <s v="Candado" u="1"/>
        <s v="Comidas" u="1"/>
        <s v="Agua" u="1"/>
        <s v="Aseo Personal" u="1"/>
        <s v="Transporte " u="1"/>
        <s v="Bebida" u="1"/>
        <s v="Bobocha" u="1"/>
        <s v="Mochis" u="1"/>
        <s v="Apuesta" u="1"/>
        <s v="Reunión Familiar" u="1"/>
        <s v="Almuerzo" u="1"/>
        <s v="Gaseosa" u="1"/>
        <s v="Desayuno" u="1"/>
        <s v="Energizante" u="1"/>
        <s v="Frugos" u="1"/>
        <s v="KFC" u="1"/>
        <s v="Pastilla Madre" u="1"/>
        <s v="In Game" u="1"/>
        <s v="Fifa" u="1"/>
        <s v="Minecraft" u="1"/>
        <s v="Valorant" u="1"/>
        <s v="Supermercado" u="1"/>
        <s v="Detergente" u="1"/>
        <s v="Tio Fer" u="1"/>
        <s v="DollarCity" u="1"/>
        <s v="Lego" u="1"/>
        <s v="HappyLand" u="1"/>
        <s v="Regalo Carol" u="1"/>
        <s v="Karts" u="1"/>
        <s v="Fridays" u="1"/>
        <s v="Popeyes" u="1"/>
        <s v="Postres Fríos" u="1"/>
        <s v="Hospital" u="1"/>
        <s v="KFC " u="1"/>
        <s v="Pago de Tarjeta" u="1"/>
        <s v="GPT" u="1"/>
        <s v="Gemini" u="1"/>
        <s v="Claude" u="1"/>
        <s v="Flores" u="1"/>
        <s v="Casino" u="1"/>
        <s v="Betano" u="1"/>
        <s v="Delivery" u="1"/>
        <s v="Fruta" u="1"/>
        <s v="Planet Chicken" u="1"/>
        <s v="Taxi" u="1"/>
        <s v="Pasaje" u="1"/>
        <s v="Condones " u="1"/>
        <s v="Raspadilla" u="1"/>
        <s v="Vitamina C" u="1"/>
        <s v="Cerveza" u="1"/>
        <s v="Trago" u="1"/>
        <s v="Helado" u="1"/>
        <s v="Marciano" u="1"/>
        <s v="Bepanten" u="1"/>
        <s v="Pastillas" u="1"/>
        <s v="Shampoo" u="1"/>
        <s v="Mantequilla de Cacao" u="1"/>
        <s v="Cepillo Dental" u="1"/>
        <s v="Arreglar Polera" u="1"/>
        <s v="Cera" u="1"/>
        <s v="Arreglar Zapatilla" u="1"/>
        <s v="Pantalon" u="1"/>
        <s v="Short" u="1"/>
        <s v="Polera" u="1"/>
        <s v="Casaca" u="1"/>
        <s v="Polos y Camisas" u="1"/>
        <s v="Camisa" u="1"/>
        <s v="Camiseta" u="1"/>
        <s v="Polo" u="1"/>
        <s v="Starbucks" u="1"/>
        <s v="Cafeteria " u="1"/>
        <s v="Yape Credito" u="1"/>
        <s v="Araña" u="1"/>
        <s v="Paramount" u="1"/>
        <s v="Regalo" u="1"/>
        <s v="Utencilios de Aseo" u="1"/>
        <s v="Soda Stereo" u="1"/>
        <s v="Sueldo Inicial" u="1"/>
        <s v="Regalo Fatima" u="1"/>
        <s v="Jabon" u="1"/>
        <s v="Gatorade" u="1"/>
        <s v="Enjuague Bucal" u="1"/>
        <s v="Galleta" u="1"/>
        <s v="Pasta Dental" u="1"/>
        <s v="iPhone" u="1"/>
        <s v="Chaufa" u="1"/>
        <s v="Viaje Tingo Maria" u="1"/>
        <s v="Viaje Cañon Autisha" u="1"/>
        <s v="Blade" u="1"/>
        <s v="Cumpleaños de Adriano" u="1"/>
      </sharedItems>
    </cacheField>
    <cacheField name="Monto" numFmtId="44">
      <sharedItems containsSemiMixedTypes="0" containsString="0" containsNumber="1" minValue="0.61" maxValue="2721.6"/>
    </cacheField>
    <cacheField name="Entidad" numFmtId="0">
      <sharedItems/>
    </cacheField>
    <cacheField name="Mes" numFmtId="0">
      <sharedItems count="9">
        <s v="Enero"/>
        <s v="Febrero"/>
        <s v="Marzo"/>
        <s v="Abril"/>
        <s v="Mayo"/>
        <s v="Junio"/>
        <s v="Julio"/>
        <s v="Agosto"/>
        <s v="Setiembr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3">
  <r>
    <x v="0"/>
    <d v="2026-01-01T00:00:00"/>
    <x v="0"/>
    <x v="0"/>
    <n v="32.020000000000003"/>
    <s v="Interbank"/>
    <x v="0"/>
  </r>
  <r>
    <x v="0"/>
    <d v="2026-01-01T00:00:00"/>
    <x v="1"/>
    <x v="1"/>
    <n v="2073.06"/>
    <s v="Interbank"/>
    <x v="0"/>
  </r>
  <r>
    <x v="1"/>
    <d v="2026-01-01T00:00:00"/>
    <x v="2"/>
    <x v="2"/>
    <n v="79"/>
    <s v="Interbank"/>
    <x v="0"/>
  </r>
  <r>
    <x v="1"/>
    <d v="2026-01-01T00:00:00"/>
    <x v="2"/>
    <x v="3"/>
    <n v="104"/>
    <s v="Interbank"/>
    <x v="0"/>
  </r>
  <r>
    <x v="1"/>
    <d v="2026-01-01T00:00:00"/>
    <x v="2"/>
    <x v="4"/>
    <n v="29.3"/>
    <s v="Interbank"/>
    <x v="0"/>
  </r>
  <r>
    <x v="1"/>
    <d v="2026-01-01T00:00:00"/>
    <x v="2"/>
    <x v="5"/>
    <n v="128.08000000000001"/>
    <s v="Interbank"/>
    <x v="0"/>
  </r>
  <r>
    <x v="1"/>
    <d v="2026-01-01T00:00:00"/>
    <x v="3"/>
    <x v="6"/>
    <n v="100"/>
    <s v="Interbank"/>
    <x v="0"/>
  </r>
  <r>
    <x v="1"/>
    <d v="2026-01-14T00:00:00"/>
    <x v="2"/>
    <x v="7"/>
    <n v="4.0199999999999996"/>
    <s v="Interbank"/>
    <x v="0"/>
  </r>
  <r>
    <x v="1"/>
    <d v="2026-01-15T00:00:00"/>
    <x v="2"/>
    <x v="8"/>
    <n v="39.9"/>
    <s v="Interbank"/>
    <x v="0"/>
  </r>
  <r>
    <x v="1"/>
    <d v="2026-01-01T00:00:00"/>
    <x v="2"/>
    <x v="9"/>
    <n v="8"/>
    <s v="Interbank"/>
    <x v="0"/>
  </r>
  <r>
    <x v="1"/>
    <d v="2026-01-01T00:00:00"/>
    <x v="2"/>
    <x v="10"/>
    <n v="20"/>
    <s v="Interbank"/>
    <x v="0"/>
  </r>
  <r>
    <x v="1"/>
    <d v="2026-01-01T00:00:00"/>
    <x v="2"/>
    <x v="11"/>
    <n v="267.56"/>
    <s v="Interbank"/>
    <x v="0"/>
  </r>
  <r>
    <x v="0"/>
    <d v="2026-01-01T00:00:00"/>
    <x v="4"/>
    <x v="12"/>
    <n v="379.4"/>
    <s v="BBVA Bfree"/>
    <x v="0"/>
  </r>
  <r>
    <x v="1"/>
    <d v="2026-01-01T00:00:00"/>
    <x v="3"/>
    <x v="6"/>
    <n v="36.5"/>
    <s v="Interbank"/>
    <x v="0"/>
  </r>
  <r>
    <x v="1"/>
    <d v="2026-01-01T00:00:00"/>
    <x v="3"/>
    <x v="13"/>
    <n v="14.1"/>
    <s v="BBVA Bfree"/>
    <x v="0"/>
  </r>
  <r>
    <x v="1"/>
    <d v="2026-01-01T00:00:00"/>
    <x v="3"/>
    <x v="14"/>
    <n v="34"/>
    <s v="Interbank"/>
    <x v="0"/>
  </r>
  <r>
    <x v="1"/>
    <d v="2026-01-01T00:00:00"/>
    <x v="3"/>
    <x v="15"/>
    <n v="36.5"/>
    <s v="BBVA Bfree"/>
    <x v="0"/>
  </r>
  <r>
    <x v="1"/>
    <d v="2026-01-01T00:00:00"/>
    <x v="3"/>
    <x v="16"/>
    <n v="2.7"/>
    <s v="BBVA Bfree"/>
    <x v="0"/>
  </r>
  <r>
    <x v="1"/>
    <d v="2026-01-01T00:00:00"/>
    <x v="3"/>
    <x v="17"/>
    <n v="15.9"/>
    <s v="BBVA Bfree"/>
    <x v="0"/>
  </r>
  <r>
    <x v="1"/>
    <d v="2026-01-01T00:00:00"/>
    <x v="3"/>
    <x v="18"/>
    <n v="5"/>
    <s v="Interbank"/>
    <x v="0"/>
  </r>
  <r>
    <x v="1"/>
    <d v="2026-01-01T00:00:00"/>
    <x v="3"/>
    <x v="13"/>
    <n v="5"/>
    <s v="Interbank"/>
    <x v="0"/>
  </r>
  <r>
    <x v="1"/>
    <d v="2026-01-01T00:00:00"/>
    <x v="3"/>
    <x v="19"/>
    <n v="550.46"/>
    <s v="Interbank"/>
    <x v="0"/>
  </r>
  <r>
    <x v="1"/>
    <d v="2026-01-01T00:00:00"/>
    <x v="3"/>
    <x v="17"/>
    <n v="10"/>
    <s v="Interbank"/>
    <x v="0"/>
  </r>
  <r>
    <x v="1"/>
    <d v="2026-01-01T00:00:00"/>
    <x v="3"/>
    <x v="20"/>
    <n v="20.8"/>
    <s v="BBVA Bfree"/>
    <x v="0"/>
  </r>
  <r>
    <x v="1"/>
    <d v="2026-01-01T00:00:00"/>
    <x v="3"/>
    <x v="6"/>
    <n v="5"/>
    <s v="Interbank"/>
    <x v="0"/>
  </r>
  <r>
    <x v="1"/>
    <d v="2026-01-01T00:00:00"/>
    <x v="2"/>
    <x v="21"/>
    <n v="11.9"/>
    <s v="Interbank"/>
    <x v="0"/>
  </r>
  <r>
    <x v="1"/>
    <d v="2026-01-02T00:00:00"/>
    <x v="3"/>
    <x v="22"/>
    <n v="59.4"/>
    <s v="BBVA Bfree"/>
    <x v="0"/>
  </r>
  <r>
    <x v="1"/>
    <d v="2026-01-02T00:00:00"/>
    <x v="3"/>
    <x v="17"/>
    <n v="10"/>
    <s v="Interbank"/>
    <x v="0"/>
  </r>
  <r>
    <x v="1"/>
    <d v="2026-01-04T00:00:00"/>
    <x v="3"/>
    <x v="23"/>
    <n v="100.5"/>
    <s v="Interbank"/>
    <x v="0"/>
  </r>
  <r>
    <x v="1"/>
    <d v="2026-01-04T00:00:00"/>
    <x v="3"/>
    <x v="23"/>
    <n v="20"/>
    <s v="BBVA Bfree"/>
    <x v="0"/>
  </r>
  <r>
    <x v="1"/>
    <d v="2026-01-04T00:00:00"/>
    <x v="3"/>
    <x v="24"/>
    <n v="110.8"/>
    <s v="BBVA Bfree"/>
    <x v="0"/>
  </r>
  <r>
    <x v="0"/>
    <d v="2026-01-05T00:00:00"/>
    <x v="0"/>
    <x v="25"/>
    <n v="60.1"/>
    <s v="Interbank"/>
    <x v="0"/>
  </r>
  <r>
    <x v="1"/>
    <d v="2026-01-06T00:00:00"/>
    <x v="3"/>
    <x v="22"/>
    <n v="5"/>
    <s v="Interbank"/>
    <x v="0"/>
  </r>
  <r>
    <x v="1"/>
    <d v="2026-01-06T00:00:00"/>
    <x v="3"/>
    <x v="13"/>
    <n v="18.600000000000001"/>
    <s v="BBVA Bfree"/>
    <x v="0"/>
  </r>
  <r>
    <x v="1"/>
    <d v="2026-01-06T00:00:00"/>
    <x v="3"/>
    <x v="16"/>
    <n v="6.39"/>
    <s v="BBVA Bfree"/>
    <x v="0"/>
  </r>
  <r>
    <x v="1"/>
    <d v="2026-01-06T00:00:00"/>
    <x v="3"/>
    <x v="17"/>
    <n v="12.2"/>
    <s v="Interbank"/>
    <x v="0"/>
  </r>
  <r>
    <x v="1"/>
    <d v="2026-01-08T00:00:00"/>
    <x v="3"/>
    <x v="17"/>
    <n v="20"/>
    <s v="Interbank"/>
    <x v="0"/>
  </r>
  <r>
    <x v="1"/>
    <d v="2026-01-10T00:00:00"/>
    <x v="2"/>
    <x v="26"/>
    <n v="15.71"/>
    <s v="BBVA Bfree"/>
    <x v="0"/>
  </r>
  <r>
    <x v="1"/>
    <d v="2026-01-10T00:00:00"/>
    <x v="3"/>
    <x v="17"/>
    <n v="10"/>
    <s v="Interbank"/>
    <x v="0"/>
  </r>
  <r>
    <x v="1"/>
    <d v="2026-01-11T00:00:00"/>
    <x v="3"/>
    <x v="18"/>
    <n v="10"/>
    <s v="Interbank"/>
    <x v="0"/>
  </r>
  <r>
    <x v="1"/>
    <d v="2026-01-11T00:00:00"/>
    <x v="3"/>
    <x v="27"/>
    <n v="10"/>
    <s v="Interbank"/>
    <x v="0"/>
  </r>
  <r>
    <x v="1"/>
    <d v="2026-01-11T00:00:00"/>
    <x v="3"/>
    <x v="17"/>
    <n v="19.09"/>
    <s v="Interbank"/>
    <x v="0"/>
  </r>
  <r>
    <x v="1"/>
    <d v="2026-01-12T00:00:00"/>
    <x v="3"/>
    <x v="17"/>
    <n v="10"/>
    <s v="Interbank"/>
    <x v="0"/>
  </r>
  <r>
    <x v="1"/>
    <d v="2026-01-13T00:00:00"/>
    <x v="3"/>
    <x v="28"/>
    <n v="90.9"/>
    <s v="Interbank"/>
    <x v="0"/>
  </r>
  <r>
    <x v="1"/>
    <d v="2026-01-14T00:00:00"/>
    <x v="3"/>
    <x v="17"/>
    <n v="9"/>
    <s v="Interbank"/>
    <x v="0"/>
  </r>
  <r>
    <x v="1"/>
    <d v="2026-01-15T00:00:00"/>
    <x v="5"/>
    <x v="29"/>
    <n v="60.36"/>
    <s v="Interbank"/>
    <x v="0"/>
  </r>
  <r>
    <x v="1"/>
    <d v="2026-01-15T00:00:00"/>
    <x v="3"/>
    <x v="30"/>
    <n v="10"/>
    <s v="Interbank"/>
    <x v="0"/>
  </r>
  <r>
    <x v="1"/>
    <d v="2026-01-17T00:00:00"/>
    <x v="3"/>
    <x v="19"/>
    <n v="86.5"/>
    <s v="Interbank"/>
    <x v="0"/>
  </r>
  <r>
    <x v="1"/>
    <d v="2026-01-17T00:00:00"/>
    <x v="3"/>
    <x v="19"/>
    <n v="32.299999999999997"/>
    <s v="BBVA Bfree"/>
    <x v="0"/>
  </r>
  <r>
    <x v="1"/>
    <d v="2026-01-17T00:00:00"/>
    <x v="3"/>
    <x v="13"/>
    <n v="2.5"/>
    <s v="Interbank"/>
    <x v="0"/>
  </r>
  <r>
    <x v="1"/>
    <d v="2026-01-17T00:00:00"/>
    <x v="3"/>
    <x v="31"/>
    <n v="18"/>
    <s v="Interbank"/>
    <x v="0"/>
  </r>
  <r>
    <x v="1"/>
    <d v="2026-01-17T00:00:00"/>
    <x v="3"/>
    <x v="32"/>
    <n v="71"/>
    <s v="Interbank"/>
    <x v="0"/>
  </r>
  <r>
    <x v="1"/>
    <d v="2026-01-17T00:00:00"/>
    <x v="3"/>
    <x v="16"/>
    <n v="7.09"/>
    <s v="BBVA Bfree"/>
    <x v="0"/>
  </r>
  <r>
    <x v="1"/>
    <d v="2026-01-17T00:00:00"/>
    <x v="3"/>
    <x v="16"/>
    <n v="3"/>
    <s v="BBVA Bfree"/>
    <x v="0"/>
  </r>
  <r>
    <x v="1"/>
    <d v="2026-01-19T00:00:00"/>
    <x v="3"/>
    <x v="33"/>
    <n v="12.36"/>
    <s v="Interbank"/>
    <x v="0"/>
  </r>
  <r>
    <x v="1"/>
    <d v="2026-01-21T00:00:00"/>
    <x v="3"/>
    <x v="34"/>
    <n v="55"/>
    <s v="Interbank"/>
    <x v="0"/>
  </r>
  <r>
    <x v="1"/>
    <d v="2026-01-21T00:00:00"/>
    <x v="3"/>
    <x v="13"/>
    <n v="6.25"/>
    <s v="Interbank"/>
    <x v="0"/>
  </r>
  <r>
    <x v="1"/>
    <d v="2026-01-21T00:00:00"/>
    <x v="3"/>
    <x v="27"/>
    <n v="9.19"/>
    <s v="BBVA Bfree"/>
    <x v="0"/>
  </r>
  <r>
    <x v="1"/>
    <d v="2026-01-22T00:00:00"/>
    <x v="3"/>
    <x v="16"/>
    <n v="2.29"/>
    <s v="BBVA Bfree"/>
    <x v="0"/>
  </r>
  <r>
    <x v="1"/>
    <d v="2026-01-22T00:00:00"/>
    <x v="3"/>
    <x v="13"/>
    <n v="5.5"/>
    <s v="Interbank"/>
    <x v="0"/>
  </r>
  <r>
    <x v="1"/>
    <d v="2026-01-22T00:00:00"/>
    <x v="3"/>
    <x v="13"/>
    <n v="5.5"/>
    <s v="Interbank"/>
    <x v="0"/>
  </r>
  <r>
    <x v="1"/>
    <d v="2026-01-22T00:00:00"/>
    <x v="3"/>
    <x v="33"/>
    <n v="10"/>
    <s v="Interbank"/>
    <x v="0"/>
  </r>
  <r>
    <x v="1"/>
    <d v="2026-01-23T00:00:00"/>
    <x v="3"/>
    <x v="33"/>
    <n v="9.4"/>
    <s v="Interbank"/>
    <x v="0"/>
  </r>
  <r>
    <x v="1"/>
    <d v="2026-01-23T00:00:00"/>
    <x v="3"/>
    <x v="17"/>
    <n v="9"/>
    <s v="Interbank"/>
    <x v="0"/>
  </r>
  <r>
    <x v="1"/>
    <d v="2026-01-25T00:00:00"/>
    <x v="3"/>
    <x v="35"/>
    <n v="12.5"/>
    <s v="Interbank"/>
    <x v="0"/>
  </r>
  <r>
    <x v="0"/>
    <d v="2026-02-01T00:00:00"/>
    <x v="0"/>
    <x v="0"/>
    <n v="46.9"/>
    <s v="Interbank"/>
    <x v="1"/>
  </r>
  <r>
    <x v="0"/>
    <d v="2026-02-01T00:00:00"/>
    <x v="1"/>
    <x v="1"/>
    <n v="2073.06"/>
    <s v="Interbank"/>
    <x v="1"/>
  </r>
  <r>
    <x v="1"/>
    <d v="2026-02-01T00:00:00"/>
    <x v="2"/>
    <x v="11"/>
    <n v="481"/>
    <s v="Interbank"/>
    <x v="1"/>
  </r>
  <r>
    <x v="0"/>
    <d v="2026-02-01T00:00:00"/>
    <x v="4"/>
    <x v="12"/>
    <n v="500"/>
    <s v="BBVA Bfree"/>
    <x v="1"/>
  </r>
  <r>
    <x v="1"/>
    <d v="2026-02-01T00:00:00"/>
    <x v="2"/>
    <x v="2"/>
    <n v="79"/>
    <s v="BBVA Bfree"/>
    <x v="1"/>
  </r>
  <r>
    <x v="1"/>
    <d v="2026-02-01T00:00:00"/>
    <x v="2"/>
    <x v="3"/>
    <n v="134.5"/>
    <s v="BBVA Bfree"/>
    <x v="1"/>
  </r>
  <r>
    <x v="1"/>
    <d v="2026-02-01T00:00:00"/>
    <x v="2"/>
    <x v="4"/>
    <n v="19.100000000000001"/>
    <s v="BBVA Bfree"/>
    <x v="1"/>
  </r>
  <r>
    <x v="1"/>
    <d v="2026-02-15T00:00:00"/>
    <x v="2"/>
    <x v="8"/>
    <n v="39.9"/>
    <s v="Interbank"/>
    <x v="1"/>
  </r>
  <r>
    <x v="1"/>
    <d v="2026-02-01T00:00:00"/>
    <x v="2"/>
    <x v="10"/>
    <n v="20"/>
    <s v="Interbank"/>
    <x v="1"/>
  </r>
  <r>
    <x v="1"/>
    <d v="2026-02-01T00:00:00"/>
    <x v="2"/>
    <x v="5"/>
    <n v="107.3"/>
    <s v="Interbank"/>
    <x v="1"/>
  </r>
  <r>
    <x v="1"/>
    <d v="2026-02-01T00:00:00"/>
    <x v="6"/>
    <x v="36"/>
    <n v="600"/>
    <s v="Interbank"/>
    <x v="1"/>
  </r>
  <r>
    <x v="1"/>
    <d v="2026-02-01T00:00:00"/>
    <x v="3"/>
    <x v="37"/>
    <n v="4.9000000000000004"/>
    <s v="Interbank"/>
    <x v="1"/>
  </r>
  <r>
    <x v="1"/>
    <d v="2026-02-01T00:00:00"/>
    <x v="3"/>
    <x v="17"/>
    <n v="19.5"/>
    <s v="Interbank"/>
    <x v="1"/>
  </r>
  <r>
    <x v="1"/>
    <d v="2026-02-01T00:00:00"/>
    <x v="3"/>
    <x v="35"/>
    <n v="14"/>
    <s v="Interbank"/>
    <x v="1"/>
  </r>
  <r>
    <x v="1"/>
    <d v="2026-02-01T00:00:00"/>
    <x v="3"/>
    <x v="38"/>
    <n v="1.5"/>
    <s v="Interbank"/>
    <x v="1"/>
  </r>
  <r>
    <x v="1"/>
    <d v="2026-02-01T00:00:00"/>
    <x v="3"/>
    <x v="6"/>
    <n v="7"/>
    <s v="Interbank"/>
    <x v="1"/>
  </r>
  <r>
    <x v="1"/>
    <d v="2026-02-01T00:00:00"/>
    <x v="6"/>
    <x v="39"/>
    <n v="120.9"/>
    <s v="Interbank"/>
    <x v="1"/>
  </r>
  <r>
    <x v="1"/>
    <d v="2026-02-01T00:00:00"/>
    <x v="3"/>
    <x v="17"/>
    <n v="20"/>
    <s v="Interbank"/>
    <x v="1"/>
  </r>
  <r>
    <x v="1"/>
    <d v="2026-02-01T00:00:00"/>
    <x v="3"/>
    <x v="6"/>
    <n v="11"/>
    <s v="Interbank"/>
    <x v="1"/>
  </r>
  <r>
    <x v="1"/>
    <d v="2026-02-01T00:00:00"/>
    <x v="3"/>
    <x v="17"/>
    <n v="10"/>
    <s v="Interbank"/>
    <x v="1"/>
  </r>
  <r>
    <x v="1"/>
    <d v="2026-02-01T00:00:00"/>
    <x v="3"/>
    <x v="38"/>
    <n v="3.3"/>
    <s v="Interbank"/>
    <x v="1"/>
  </r>
  <r>
    <x v="1"/>
    <d v="2026-02-01T00:00:00"/>
    <x v="3"/>
    <x v="13"/>
    <n v="3"/>
    <s v="Interbank"/>
    <x v="1"/>
  </r>
  <r>
    <x v="1"/>
    <d v="2026-02-01T00:00:00"/>
    <x v="3"/>
    <x v="40"/>
    <n v="10.3"/>
    <s v="BBVA Bfree"/>
    <x v="1"/>
  </r>
  <r>
    <x v="1"/>
    <d v="2026-02-01T00:00:00"/>
    <x v="6"/>
    <x v="41"/>
    <n v="30"/>
    <s v="Interbank"/>
    <x v="1"/>
  </r>
  <r>
    <x v="1"/>
    <d v="2026-02-01T00:00:00"/>
    <x v="3"/>
    <x v="13"/>
    <n v="3"/>
    <s v="Interbank"/>
    <x v="1"/>
  </r>
  <r>
    <x v="1"/>
    <d v="2026-02-01T00:00:00"/>
    <x v="3"/>
    <x v="42"/>
    <n v="2.69"/>
    <s v="BBVA Bfree"/>
    <x v="1"/>
  </r>
  <r>
    <x v="1"/>
    <d v="2026-02-01T00:00:00"/>
    <x v="3"/>
    <x v="16"/>
    <n v="9"/>
    <s v="Interbank"/>
    <x v="1"/>
  </r>
  <r>
    <x v="1"/>
    <d v="2026-02-01T00:00:00"/>
    <x v="3"/>
    <x v="43"/>
    <n v="22"/>
    <s v="Interbank"/>
    <x v="1"/>
  </r>
  <r>
    <x v="1"/>
    <d v="2026-02-01T00:00:00"/>
    <x v="3"/>
    <x v="15"/>
    <n v="59.3"/>
    <s v="BBVA Bfree"/>
    <x v="1"/>
  </r>
  <r>
    <x v="1"/>
    <d v="2026-02-01T00:00:00"/>
    <x v="3"/>
    <x v="44"/>
    <n v="5"/>
    <s v="Interbank"/>
    <x v="1"/>
  </r>
  <r>
    <x v="1"/>
    <d v="2026-02-01T00:00:00"/>
    <x v="3"/>
    <x v="16"/>
    <n v="3.5"/>
    <s v="BBVA Bfree"/>
    <x v="1"/>
  </r>
  <r>
    <x v="1"/>
    <d v="2026-02-01T00:00:00"/>
    <x v="2"/>
    <x v="21"/>
    <n v="11.9"/>
    <s v="Interbank"/>
    <x v="1"/>
  </r>
  <r>
    <x v="1"/>
    <d v="2026-02-01T00:00:00"/>
    <x v="3"/>
    <x v="17"/>
    <n v="51"/>
    <s v="Interbank"/>
    <x v="1"/>
  </r>
  <r>
    <x v="1"/>
    <d v="2026-02-02T00:00:00"/>
    <x v="3"/>
    <x v="35"/>
    <n v="9.5"/>
    <s v="Interbank"/>
    <x v="1"/>
  </r>
  <r>
    <x v="1"/>
    <d v="2026-02-02T00:00:00"/>
    <x v="3"/>
    <x v="37"/>
    <n v="4.9000000000000004"/>
    <s v="BBVA Bfree"/>
    <x v="1"/>
  </r>
  <r>
    <x v="1"/>
    <d v="2026-02-02T00:00:00"/>
    <x v="3"/>
    <x v="17"/>
    <n v="10"/>
    <s v="Interbank"/>
    <x v="1"/>
  </r>
  <r>
    <x v="1"/>
    <d v="2026-02-04T00:00:00"/>
    <x v="3"/>
    <x v="45"/>
    <n v="17.899999999999999"/>
    <s v="BBVA Bfree"/>
    <x v="1"/>
  </r>
  <r>
    <x v="1"/>
    <d v="2026-02-04T00:00:00"/>
    <x v="3"/>
    <x v="38"/>
    <n v="7.9"/>
    <s v="BBVA Bfree"/>
    <x v="1"/>
  </r>
  <r>
    <x v="1"/>
    <d v="2026-02-04T00:00:00"/>
    <x v="3"/>
    <x v="6"/>
    <n v="13.65"/>
    <s v="BBVA Bfree"/>
    <x v="1"/>
  </r>
  <r>
    <x v="1"/>
    <d v="2026-02-04T00:00:00"/>
    <x v="3"/>
    <x v="46"/>
    <n v="103.09"/>
    <s v="BBVA Bfree"/>
    <x v="1"/>
  </r>
  <r>
    <x v="1"/>
    <d v="2026-02-05T00:00:00"/>
    <x v="3"/>
    <x v="35"/>
    <n v="49.32"/>
    <s v="Interbank"/>
    <x v="1"/>
  </r>
  <r>
    <x v="1"/>
    <d v="2026-02-06T00:00:00"/>
    <x v="3"/>
    <x v="33"/>
    <n v="13.059999999999999"/>
    <s v="Interbank"/>
    <x v="1"/>
  </r>
  <r>
    <x v="1"/>
    <d v="2026-02-06T00:00:00"/>
    <x v="2"/>
    <x v="26"/>
    <n v="3.31"/>
    <s v="BBVA Bfree"/>
    <x v="1"/>
  </r>
  <r>
    <x v="0"/>
    <d v="2026-02-06T00:00:00"/>
    <x v="0"/>
    <x v="47"/>
    <n v="394"/>
    <s v="Interbank"/>
    <x v="1"/>
  </r>
  <r>
    <x v="1"/>
    <d v="2026-02-06T00:00:00"/>
    <x v="6"/>
    <x v="36"/>
    <n v="600"/>
    <s v="Interbank"/>
    <x v="1"/>
  </r>
  <r>
    <x v="0"/>
    <d v="2026-02-06T00:00:00"/>
    <x v="0"/>
    <x v="47"/>
    <n v="242"/>
    <s v="Interbank"/>
    <x v="1"/>
  </r>
  <r>
    <x v="1"/>
    <d v="2026-02-06T00:00:00"/>
    <x v="3"/>
    <x v="16"/>
    <n v="7"/>
    <s v="Interbank"/>
    <x v="1"/>
  </r>
  <r>
    <x v="1"/>
    <d v="2026-02-07T00:00:00"/>
    <x v="3"/>
    <x v="18"/>
    <n v="3.5"/>
    <s v="BBVA Bfree"/>
    <x v="1"/>
  </r>
  <r>
    <x v="1"/>
    <d v="2026-02-07T00:00:00"/>
    <x v="3"/>
    <x v="16"/>
    <n v="3.29"/>
    <s v="BBVA Bfree"/>
    <x v="1"/>
  </r>
  <r>
    <x v="1"/>
    <d v="2026-02-07T00:00:00"/>
    <x v="3"/>
    <x v="17"/>
    <n v="30.57"/>
    <s v="BBVA Bfree"/>
    <x v="1"/>
  </r>
  <r>
    <x v="1"/>
    <d v="2026-02-07T00:00:00"/>
    <x v="3"/>
    <x v="16"/>
    <n v="3.5"/>
    <s v="BBVA Bfree"/>
    <x v="1"/>
  </r>
  <r>
    <x v="1"/>
    <d v="2026-02-07T00:00:00"/>
    <x v="3"/>
    <x v="17"/>
    <n v="15"/>
    <s v="Interbank"/>
    <x v="1"/>
  </r>
  <r>
    <x v="1"/>
    <d v="2026-02-09T00:00:00"/>
    <x v="3"/>
    <x v="17"/>
    <n v="59.54"/>
    <s v="Interbank"/>
    <x v="1"/>
  </r>
  <r>
    <x v="0"/>
    <d v="2026-02-10T00:00:00"/>
    <x v="4"/>
    <x v="12"/>
    <n v="1000"/>
    <s v="Interbank Amex"/>
    <x v="1"/>
  </r>
  <r>
    <x v="1"/>
    <d v="2026-02-10T00:00:00"/>
    <x v="3"/>
    <x v="37"/>
    <n v="4.9000000000000004"/>
    <s v="Interbank Amex"/>
    <x v="1"/>
  </r>
  <r>
    <x v="1"/>
    <d v="2026-02-10T00:00:00"/>
    <x v="3"/>
    <x v="13"/>
    <n v="4"/>
    <s v="Interbank"/>
    <x v="1"/>
  </r>
  <r>
    <x v="1"/>
    <d v="2026-02-10T00:00:00"/>
    <x v="3"/>
    <x v="17"/>
    <n v="10"/>
    <s v="Interbank"/>
    <x v="1"/>
  </r>
  <r>
    <x v="1"/>
    <d v="2026-02-11T00:00:00"/>
    <x v="3"/>
    <x v="13"/>
    <n v="20"/>
    <s v="Interbank"/>
    <x v="1"/>
  </r>
  <r>
    <x v="1"/>
    <d v="2026-02-11T00:00:00"/>
    <x v="3"/>
    <x v="18"/>
    <n v="5.9"/>
    <s v="Interbank Amex"/>
    <x v="1"/>
  </r>
  <r>
    <x v="1"/>
    <d v="2026-02-11T00:00:00"/>
    <x v="3"/>
    <x v="28"/>
    <n v="42.46"/>
    <s v="Interbank Amex"/>
    <x v="1"/>
  </r>
  <r>
    <x v="1"/>
    <d v="2026-02-11T00:00:00"/>
    <x v="3"/>
    <x v="48"/>
    <n v="40"/>
    <s v="Interbank Amex"/>
    <x v="1"/>
  </r>
  <r>
    <x v="1"/>
    <d v="2026-02-11T00:00:00"/>
    <x v="3"/>
    <x v="49"/>
    <n v="50.89"/>
    <s v="Interbank Amex"/>
    <x v="1"/>
  </r>
  <r>
    <x v="1"/>
    <d v="2026-02-11T00:00:00"/>
    <x v="3"/>
    <x v="32"/>
    <n v="90"/>
    <s v="Interbank Amex"/>
    <x v="1"/>
  </r>
  <r>
    <x v="1"/>
    <d v="2026-02-12T00:00:00"/>
    <x v="3"/>
    <x v="28"/>
    <n v="69.5"/>
    <s v="Interbank Amex"/>
    <x v="1"/>
  </r>
  <r>
    <x v="1"/>
    <d v="2026-02-13T00:00:00"/>
    <x v="6"/>
    <x v="25"/>
    <n v="90"/>
    <s v="Interbank"/>
    <x v="1"/>
  </r>
  <r>
    <x v="1"/>
    <d v="2026-02-13T00:00:00"/>
    <x v="3"/>
    <x v="50"/>
    <n v="24"/>
    <s v="Interbank Amex"/>
    <x v="1"/>
  </r>
  <r>
    <x v="1"/>
    <d v="2026-02-14T00:00:00"/>
    <x v="3"/>
    <x v="51"/>
    <n v="15.6"/>
    <s v="Interbank Amex"/>
    <x v="1"/>
  </r>
  <r>
    <x v="0"/>
    <d v="2026-02-14T00:00:00"/>
    <x v="0"/>
    <x v="52"/>
    <n v="400"/>
    <s v="Interbank"/>
    <x v="1"/>
  </r>
  <r>
    <x v="1"/>
    <d v="2026-02-14T00:00:00"/>
    <x v="2"/>
    <x v="7"/>
    <n v="4"/>
    <s v="Interbank"/>
    <x v="1"/>
  </r>
  <r>
    <x v="1"/>
    <d v="2026-02-14T00:00:00"/>
    <x v="3"/>
    <x v="28"/>
    <n v="60"/>
    <s v="Interbank"/>
    <x v="1"/>
  </r>
  <r>
    <x v="1"/>
    <d v="2026-02-14T00:00:00"/>
    <x v="3"/>
    <x v="17"/>
    <n v="21.5"/>
    <s v="Interbank Amex"/>
    <x v="1"/>
  </r>
  <r>
    <x v="1"/>
    <d v="2026-02-14T00:00:00"/>
    <x v="3"/>
    <x v="45"/>
    <n v="6.5"/>
    <s v="Interbank Amex"/>
    <x v="1"/>
  </r>
  <r>
    <x v="1"/>
    <d v="2026-02-15T00:00:00"/>
    <x v="5"/>
    <x v="29"/>
    <n v="60.36"/>
    <s v="Interbank"/>
    <x v="1"/>
  </r>
  <r>
    <x v="1"/>
    <d v="2026-02-15T00:00:00"/>
    <x v="3"/>
    <x v="50"/>
    <n v="80"/>
    <s v="Interbank"/>
    <x v="1"/>
  </r>
  <r>
    <x v="1"/>
    <d v="2026-02-15T00:00:00"/>
    <x v="3"/>
    <x v="16"/>
    <n v="8.1"/>
    <s v="Interbank Amex"/>
    <x v="1"/>
  </r>
  <r>
    <x v="1"/>
    <d v="2026-02-16T00:00:00"/>
    <x v="3"/>
    <x v="35"/>
    <n v="50"/>
    <s v="Interbank"/>
    <x v="1"/>
  </r>
  <r>
    <x v="1"/>
    <d v="2026-02-16T00:00:00"/>
    <x v="3"/>
    <x v="33"/>
    <n v="12.5"/>
    <s v="Interbank"/>
    <x v="1"/>
  </r>
  <r>
    <x v="1"/>
    <d v="2026-02-16T00:00:00"/>
    <x v="3"/>
    <x v="17"/>
    <n v="15"/>
    <s v="Interbank"/>
    <x v="1"/>
  </r>
  <r>
    <x v="1"/>
    <d v="2026-02-18T00:00:00"/>
    <x v="3"/>
    <x v="17"/>
    <n v="10"/>
    <s v="Interbank"/>
    <x v="1"/>
  </r>
  <r>
    <x v="1"/>
    <d v="2026-02-19T00:00:00"/>
    <x v="3"/>
    <x v="13"/>
    <n v="6"/>
    <s v="Interbank"/>
    <x v="1"/>
  </r>
  <r>
    <x v="1"/>
    <d v="2026-02-19T00:00:00"/>
    <x v="3"/>
    <x v="17"/>
    <n v="9.5"/>
    <s v="Interbank"/>
    <x v="1"/>
  </r>
  <r>
    <x v="1"/>
    <d v="2026-02-20T00:00:00"/>
    <x v="3"/>
    <x v="53"/>
    <n v="480"/>
    <s v="Interbank Amex"/>
    <x v="1"/>
  </r>
  <r>
    <x v="0"/>
    <d v="2026-02-20T00:00:00"/>
    <x v="0"/>
    <x v="54"/>
    <n v="240"/>
    <s v="Interbank"/>
    <x v="1"/>
  </r>
  <r>
    <x v="1"/>
    <d v="2026-02-20T00:00:00"/>
    <x v="3"/>
    <x v="16"/>
    <n v="6.99"/>
    <s v="Interbank Amex"/>
    <x v="1"/>
  </r>
  <r>
    <x v="1"/>
    <d v="2026-02-20T00:00:00"/>
    <x v="3"/>
    <x v="13"/>
    <n v="20"/>
    <s v="Interbank"/>
    <x v="1"/>
  </r>
  <r>
    <x v="1"/>
    <d v="2026-02-21T00:00:00"/>
    <x v="3"/>
    <x v="24"/>
    <n v="28"/>
    <s v="Interbank Amex"/>
    <x v="1"/>
  </r>
  <r>
    <x v="0"/>
    <d v="2026-02-21T00:00:00"/>
    <x v="0"/>
    <x v="25"/>
    <n v="100"/>
    <s v="Interbank"/>
    <x v="1"/>
  </r>
  <r>
    <x v="1"/>
    <d v="2026-02-21T00:00:00"/>
    <x v="3"/>
    <x v="17"/>
    <n v="20"/>
    <s v="Interbank"/>
    <x v="1"/>
  </r>
  <r>
    <x v="1"/>
    <d v="2026-02-21T00:00:00"/>
    <x v="3"/>
    <x v="27"/>
    <n v="7.5"/>
    <s v="Interbank"/>
    <x v="1"/>
  </r>
  <r>
    <x v="1"/>
    <d v="2026-02-21T00:00:00"/>
    <x v="3"/>
    <x v="42"/>
    <n v="3.5"/>
    <s v="Interbank"/>
    <x v="1"/>
  </r>
  <r>
    <x v="1"/>
    <d v="2026-02-21T00:00:00"/>
    <x v="3"/>
    <x v="55"/>
    <n v="2"/>
    <s v="Interbank"/>
    <x v="1"/>
  </r>
  <r>
    <x v="1"/>
    <d v="2026-02-21T00:00:00"/>
    <x v="3"/>
    <x v="15"/>
    <n v="30"/>
    <s v="Interbank Amex"/>
    <x v="1"/>
  </r>
  <r>
    <x v="1"/>
    <d v="2026-02-21T00:00:00"/>
    <x v="3"/>
    <x v="55"/>
    <n v="9"/>
    <s v="Interbank Amex"/>
    <x v="1"/>
  </r>
  <r>
    <x v="1"/>
    <d v="2026-02-21T00:00:00"/>
    <x v="3"/>
    <x v="55"/>
    <n v="13.91"/>
    <s v="Interbank Amex"/>
    <x v="1"/>
  </r>
  <r>
    <x v="1"/>
    <d v="2026-02-22T00:00:00"/>
    <x v="3"/>
    <x v="56"/>
    <n v="10"/>
    <s v="Interbank"/>
    <x v="1"/>
  </r>
  <r>
    <x v="1"/>
    <d v="2026-02-22T00:00:00"/>
    <x v="3"/>
    <x v="43"/>
    <n v="14.7"/>
    <s v="Interbank"/>
    <x v="1"/>
  </r>
  <r>
    <x v="1"/>
    <d v="2026-02-22T00:00:00"/>
    <x v="3"/>
    <x v="30"/>
    <n v="22.5"/>
    <s v="Interbank"/>
    <x v="1"/>
  </r>
  <r>
    <x v="1"/>
    <d v="2026-02-22T00:00:00"/>
    <x v="3"/>
    <x v="13"/>
    <n v="7"/>
    <s v="Interbank"/>
    <x v="1"/>
  </r>
  <r>
    <x v="1"/>
    <d v="2026-02-22T00:00:00"/>
    <x v="2"/>
    <x v="26"/>
    <n v="0.94"/>
    <s v="Interbank Amex"/>
    <x v="1"/>
  </r>
  <r>
    <x v="1"/>
    <d v="2026-02-24T00:00:00"/>
    <x v="3"/>
    <x v="24"/>
    <n v="30.8"/>
    <s v="Interbank"/>
    <x v="1"/>
  </r>
  <r>
    <x v="1"/>
    <d v="2026-02-24T00:00:00"/>
    <x v="2"/>
    <x v="11"/>
    <n v="379.76"/>
    <s v="Interbank"/>
    <x v="1"/>
  </r>
  <r>
    <x v="0"/>
    <d v="2026-02-24T00:00:00"/>
    <x v="4"/>
    <x v="12"/>
    <n v="379.74"/>
    <s v="Interbank Amex"/>
    <x v="1"/>
  </r>
  <r>
    <x v="1"/>
    <d v="2026-02-25T00:00:00"/>
    <x v="3"/>
    <x v="17"/>
    <n v="15"/>
    <s v="Interbank"/>
    <x v="1"/>
  </r>
  <r>
    <x v="1"/>
    <d v="2026-02-25T00:00:00"/>
    <x v="3"/>
    <x v="18"/>
    <n v="3"/>
    <s v="Interbank"/>
    <x v="1"/>
  </r>
  <r>
    <x v="0"/>
    <d v="2026-03-01T00:00:00"/>
    <x v="0"/>
    <x v="0"/>
    <n v="154.45999999999998"/>
    <s v="Interbank"/>
    <x v="2"/>
  </r>
  <r>
    <x v="0"/>
    <d v="2026-03-01T00:00:00"/>
    <x v="1"/>
    <x v="1"/>
    <n v="2073.06"/>
    <s v="Interbank"/>
    <x v="2"/>
  </r>
  <r>
    <x v="0"/>
    <d v="2026-03-01T00:00:00"/>
    <x v="4"/>
    <x v="12"/>
    <n v="431.15"/>
    <s v="Interbank Amex"/>
    <x v="2"/>
  </r>
  <r>
    <x v="1"/>
    <d v="2026-03-01T00:00:00"/>
    <x v="2"/>
    <x v="2"/>
    <n v="79"/>
    <s v="Interbank Amex"/>
    <x v="2"/>
  </r>
  <r>
    <x v="1"/>
    <d v="2026-03-01T00:00:00"/>
    <x v="2"/>
    <x v="3"/>
    <n v="111.5"/>
    <s v="Interbank Amex"/>
    <x v="2"/>
  </r>
  <r>
    <x v="1"/>
    <d v="2026-03-01T00:00:00"/>
    <x v="2"/>
    <x v="4"/>
    <n v="35.799999999999997"/>
    <s v="Interbank Amex"/>
    <x v="2"/>
  </r>
  <r>
    <x v="1"/>
    <d v="2026-03-01T00:00:00"/>
    <x v="6"/>
    <x v="36"/>
    <n v="1050"/>
    <s v="Interbank"/>
    <x v="2"/>
  </r>
  <r>
    <x v="1"/>
    <d v="2026-03-01T00:00:00"/>
    <x v="3"/>
    <x v="57"/>
    <n v="180"/>
    <s v="Interbank"/>
    <x v="2"/>
  </r>
  <r>
    <x v="1"/>
    <d v="2026-03-01T00:00:00"/>
    <x v="3"/>
    <x v="58"/>
    <n v="70"/>
    <s v="Interbank"/>
    <x v="2"/>
  </r>
  <r>
    <x v="1"/>
    <d v="2026-03-01T00:00:00"/>
    <x v="2"/>
    <x v="10"/>
    <n v="20"/>
    <s v="Interbank"/>
    <x v="2"/>
  </r>
  <r>
    <x v="1"/>
    <d v="2026-03-01T00:00:00"/>
    <x v="2"/>
    <x v="5"/>
    <n v="121.5"/>
    <s v="Interbank"/>
    <x v="2"/>
  </r>
  <r>
    <x v="1"/>
    <d v="2026-03-01T00:00:00"/>
    <x v="3"/>
    <x v="30"/>
    <n v="13"/>
    <s v="Interbank"/>
    <x v="2"/>
  </r>
  <r>
    <x v="0"/>
    <d v="2026-03-01T00:00:00"/>
    <x v="0"/>
    <x v="59"/>
    <n v="80"/>
    <s v="Interbank"/>
    <x v="2"/>
  </r>
  <r>
    <x v="1"/>
    <d v="2026-03-01T00:00:00"/>
    <x v="6"/>
    <x v="60"/>
    <n v="110"/>
    <s v="Interbank"/>
    <x v="2"/>
  </r>
  <r>
    <x v="1"/>
    <d v="2026-03-01T00:00:00"/>
    <x v="3"/>
    <x v="61"/>
    <n v="74.7"/>
    <s v="Interbank"/>
    <x v="2"/>
  </r>
  <r>
    <x v="1"/>
    <d v="2026-03-01T00:00:00"/>
    <x v="3"/>
    <x v="62"/>
    <n v="99"/>
    <s v="Interbank"/>
    <x v="2"/>
  </r>
  <r>
    <x v="1"/>
    <d v="2026-03-01T00:00:00"/>
    <x v="3"/>
    <x v="13"/>
    <n v="20"/>
    <s v="Interbank"/>
    <x v="2"/>
  </r>
  <r>
    <x v="1"/>
    <d v="2026-03-01T00:00:00"/>
    <x v="3"/>
    <x v="28"/>
    <n v="55"/>
    <s v="Interbank"/>
    <x v="2"/>
  </r>
  <r>
    <x v="1"/>
    <d v="2026-03-01T00:00:00"/>
    <x v="3"/>
    <x v="28"/>
    <n v="40"/>
    <s v="Interbank"/>
    <x v="2"/>
  </r>
  <r>
    <x v="1"/>
    <d v="2026-03-01T00:00:00"/>
    <x v="3"/>
    <x v="63"/>
    <n v="71.03"/>
    <s v="Interbank Amex"/>
    <x v="2"/>
  </r>
  <r>
    <x v="1"/>
    <d v="2026-03-01T00:00:00"/>
    <x v="3"/>
    <x v="42"/>
    <n v="1.91"/>
    <s v="Interbank"/>
    <x v="2"/>
  </r>
  <r>
    <x v="1"/>
    <d v="2026-03-01T00:00:00"/>
    <x v="3"/>
    <x v="17"/>
    <n v="22.8"/>
    <s v="Interbank"/>
    <x v="2"/>
  </r>
  <r>
    <x v="1"/>
    <d v="2026-03-01T00:00:00"/>
    <x v="3"/>
    <x v="17"/>
    <n v="10"/>
    <s v="Interbank"/>
    <x v="2"/>
  </r>
  <r>
    <x v="1"/>
    <d v="2026-03-01T00:00:00"/>
    <x v="3"/>
    <x v="35"/>
    <n v="5"/>
    <s v="Interbank"/>
    <x v="2"/>
  </r>
  <r>
    <x v="1"/>
    <d v="2026-03-01T00:00:00"/>
    <x v="2"/>
    <x v="21"/>
    <n v="11.9"/>
    <s v="Interbank Amex"/>
    <x v="2"/>
  </r>
  <r>
    <x v="1"/>
    <d v="2026-03-02T00:00:00"/>
    <x v="2"/>
    <x v="64"/>
    <n v="12"/>
    <s v="Interbank"/>
    <x v="2"/>
  </r>
  <r>
    <x v="1"/>
    <d v="2026-03-03T00:00:00"/>
    <x v="3"/>
    <x v="38"/>
    <n v="16.489999999999998"/>
    <s v="Interbank Amex"/>
    <x v="2"/>
  </r>
  <r>
    <x v="1"/>
    <d v="2026-03-03T00:00:00"/>
    <x v="3"/>
    <x v="45"/>
    <n v="8.48"/>
    <s v="Interbank Amex"/>
    <x v="2"/>
  </r>
  <r>
    <x v="1"/>
    <d v="2026-03-03T00:00:00"/>
    <x v="3"/>
    <x v="24"/>
    <n v="12.5"/>
    <s v="Interbank"/>
    <x v="2"/>
  </r>
  <r>
    <x v="1"/>
    <d v="2026-03-03T00:00:00"/>
    <x v="3"/>
    <x v="65"/>
    <n v="17"/>
    <s v="Interbank"/>
    <x v="2"/>
  </r>
  <r>
    <x v="1"/>
    <d v="2026-03-04T00:00:00"/>
    <x v="3"/>
    <x v="49"/>
    <n v="20"/>
    <s v="Interbank"/>
    <x v="2"/>
  </r>
  <r>
    <x v="1"/>
    <d v="2026-03-04T00:00:00"/>
    <x v="3"/>
    <x v="17"/>
    <n v="9.09"/>
    <s v="Interbank"/>
    <x v="2"/>
  </r>
  <r>
    <x v="1"/>
    <d v="2026-03-04T00:00:00"/>
    <x v="3"/>
    <x v="16"/>
    <n v="4.0599999999999996"/>
    <s v="Interbank Amex"/>
    <x v="2"/>
  </r>
  <r>
    <x v="1"/>
    <d v="2026-03-05T00:00:00"/>
    <x v="3"/>
    <x v="18"/>
    <n v="3"/>
    <s v="Interbank"/>
    <x v="2"/>
  </r>
  <r>
    <x v="1"/>
    <d v="2026-03-05T00:00:00"/>
    <x v="3"/>
    <x v="66"/>
    <n v="10"/>
    <s v="Interbank"/>
    <x v="2"/>
  </r>
  <r>
    <x v="1"/>
    <d v="2026-03-06T00:00:00"/>
    <x v="6"/>
    <x v="25"/>
    <n v="10"/>
    <s v="Interbank"/>
    <x v="2"/>
  </r>
  <r>
    <x v="1"/>
    <d v="2026-03-07T00:00:00"/>
    <x v="3"/>
    <x v="17"/>
    <n v="17"/>
    <s v="Interbank"/>
    <x v="2"/>
  </r>
  <r>
    <x v="1"/>
    <d v="2026-03-07T00:00:00"/>
    <x v="3"/>
    <x v="16"/>
    <n v="2"/>
    <s v="Interbank"/>
    <x v="2"/>
  </r>
  <r>
    <x v="1"/>
    <d v="2026-03-07T00:00:00"/>
    <x v="3"/>
    <x v="28"/>
    <n v="50"/>
    <s v="Interbank"/>
    <x v="2"/>
  </r>
  <r>
    <x v="1"/>
    <d v="2026-03-07T00:00:00"/>
    <x v="3"/>
    <x v="27"/>
    <n v="50"/>
    <s v="Interbank"/>
    <x v="2"/>
  </r>
  <r>
    <x v="1"/>
    <d v="2026-03-07T00:00:00"/>
    <x v="3"/>
    <x v="16"/>
    <n v="6"/>
    <s v="Interbank Amex"/>
    <x v="2"/>
  </r>
  <r>
    <x v="1"/>
    <d v="2026-03-08T00:00:00"/>
    <x v="3"/>
    <x v="14"/>
    <n v="70"/>
    <s v="Interbank"/>
    <x v="2"/>
  </r>
  <r>
    <x v="1"/>
    <d v="2026-03-09T00:00:00"/>
    <x v="3"/>
    <x v="45"/>
    <n v="20"/>
    <s v="Interbank"/>
    <x v="2"/>
  </r>
  <r>
    <x v="1"/>
    <d v="2026-03-09T00:00:00"/>
    <x v="3"/>
    <x v="17"/>
    <n v="12"/>
    <s v="Interbank"/>
    <x v="2"/>
  </r>
  <r>
    <x v="1"/>
    <d v="2026-03-10T00:00:00"/>
    <x v="3"/>
    <x v="13"/>
    <n v="40"/>
    <s v="Interbank"/>
    <x v="2"/>
  </r>
  <r>
    <x v="1"/>
    <d v="2026-03-10T00:00:00"/>
    <x v="3"/>
    <x v="38"/>
    <n v="6.6300000000000008"/>
    <s v="Interbank Amex"/>
    <x v="2"/>
  </r>
  <r>
    <x v="1"/>
    <d v="2026-03-10T00:00:00"/>
    <x v="3"/>
    <x v="18"/>
    <n v="16.98"/>
    <s v="Interbank"/>
    <x v="2"/>
  </r>
  <r>
    <x v="1"/>
    <d v="2026-03-14T00:00:00"/>
    <x v="2"/>
    <x v="7"/>
    <n v="4.0199999999999996"/>
    <s v="Interbank"/>
    <x v="2"/>
  </r>
  <r>
    <x v="1"/>
    <d v="2026-03-15T00:00:00"/>
    <x v="5"/>
    <x v="29"/>
    <n v="60.36"/>
    <s v="Interbank"/>
    <x v="2"/>
  </r>
  <r>
    <x v="1"/>
    <d v="2026-03-15T00:00:00"/>
    <x v="2"/>
    <x v="8"/>
    <n v="39.9"/>
    <s v="Interbank Amex"/>
    <x v="2"/>
  </r>
  <r>
    <x v="0"/>
    <d v="2026-03-15T00:00:00"/>
    <x v="0"/>
    <x v="52"/>
    <n v="100"/>
    <s v="Interbank"/>
    <x v="2"/>
  </r>
  <r>
    <x v="0"/>
    <d v="2026-03-15T00:00:00"/>
    <x v="0"/>
    <x v="67"/>
    <n v="80"/>
    <s v="Interbank"/>
    <x v="2"/>
  </r>
  <r>
    <x v="1"/>
    <d v="2026-03-21T00:00:00"/>
    <x v="3"/>
    <x v="68"/>
    <n v="115.69999999999999"/>
    <s v="Interbank"/>
    <x v="2"/>
  </r>
  <r>
    <x v="1"/>
    <d v="2026-03-21T00:00:00"/>
    <x v="3"/>
    <x v="17"/>
    <n v="22.94"/>
    <s v="Interbank"/>
    <x v="2"/>
  </r>
  <r>
    <x v="1"/>
    <d v="2026-03-24T00:00:00"/>
    <x v="3"/>
    <x v="13"/>
    <n v="3.5"/>
    <s v="Interbank"/>
    <x v="2"/>
  </r>
  <r>
    <x v="1"/>
    <d v="2026-03-24T00:00:00"/>
    <x v="3"/>
    <x v="69"/>
    <n v="6.78"/>
    <s v="Interbank Amex"/>
    <x v="2"/>
  </r>
  <r>
    <x v="1"/>
    <d v="2026-03-26T00:00:00"/>
    <x v="3"/>
    <x v="13"/>
    <n v="6"/>
    <s v="Interbank"/>
    <x v="2"/>
  </r>
  <r>
    <x v="0"/>
    <d v="2026-04-01T00:00:00"/>
    <x v="0"/>
    <x v="0"/>
    <n v="42.04"/>
    <s v="Interbank"/>
    <x v="3"/>
  </r>
  <r>
    <x v="0"/>
    <d v="2026-04-01T00:00:00"/>
    <x v="1"/>
    <x v="1"/>
    <n v="2259.63"/>
    <s v="Interbank"/>
    <x v="3"/>
  </r>
  <r>
    <x v="1"/>
    <d v="2026-04-01T00:00:00"/>
    <x v="2"/>
    <x v="70"/>
    <n v="1010"/>
    <s v="Interbank"/>
    <x v="3"/>
  </r>
  <r>
    <x v="1"/>
    <d v="2026-04-01T00:00:00"/>
    <x v="2"/>
    <x v="70"/>
    <n v="20"/>
    <s v="Interbank"/>
    <x v="3"/>
  </r>
  <r>
    <x v="1"/>
    <d v="2026-04-01T00:00:00"/>
    <x v="5"/>
    <x v="71"/>
    <n v="245.75"/>
    <s v="Interbank"/>
    <x v="3"/>
  </r>
  <r>
    <x v="0"/>
    <d v="2026-04-01T00:00:00"/>
    <x v="4"/>
    <x v="12"/>
    <n v="1000"/>
    <s v="Interbank Amex"/>
    <x v="3"/>
  </r>
  <r>
    <x v="1"/>
    <d v="2026-04-01T00:00:00"/>
    <x v="3"/>
    <x v="72"/>
    <n v="80"/>
    <s v="Interbank"/>
    <x v="3"/>
  </r>
  <r>
    <x v="1"/>
    <d v="2026-04-01T00:00:00"/>
    <x v="3"/>
    <x v="73"/>
    <n v="195"/>
    <s v="Interbank"/>
    <x v="3"/>
  </r>
  <r>
    <x v="1"/>
    <d v="2026-04-01T00:00:00"/>
    <x v="3"/>
    <x v="17"/>
    <n v="18"/>
    <s v="Interbank"/>
    <x v="3"/>
  </r>
  <r>
    <x v="1"/>
    <d v="2026-04-01T00:00:00"/>
    <x v="3"/>
    <x v="15"/>
    <n v="36.630000000000003"/>
    <s v="Interbank Amex"/>
    <x v="3"/>
  </r>
  <r>
    <x v="1"/>
    <d v="2026-04-01T00:00:00"/>
    <x v="3"/>
    <x v="6"/>
    <n v="12"/>
    <s v="Interbank"/>
    <x v="3"/>
  </r>
  <r>
    <x v="1"/>
    <d v="2026-04-01T00:00:00"/>
    <x v="2"/>
    <x v="2"/>
    <n v="79"/>
    <s v="Interbank Amex"/>
    <x v="3"/>
  </r>
  <r>
    <x v="1"/>
    <d v="2026-04-01T00:00:00"/>
    <x v="3"/>
    <x v="74"/>
    <n v="135"/>
    <s v="Interbank"/>
    <x v="3"/>
  </r>
  <r>
    <x v="1"/>
    <d v="2026-04-01T00:00:00"/>
    <x v="3"/>
    <x v="17"/>
    <n v="13.5"/>
    <s v="Interbank"/>
    <x v="3"/>
  </r>
  <r>
    <x v="1"/>
    <d v="2026-04-01T00:00:00"/>
    <x v="3"/>
    <x v="75"/>
    <n v="60"/>
    <s v="Interbank"/>
    <x v="3"/>
  </r>
  <r>
    <x v="1"/>
    <d v="2026-04-01T00:00:00"/>
    <x v="2"/>
    <x v="3"/>
    <n v="101.5"/>
    <s v="Interbank Amex"/>
    <x v="3"/>
  </r>
  <r>
    <x v="1"/>
    <d v="2026-04-01T00:00:00"/>
    <x v="2"/>
    <x v="4"/>
    <n v="14.1"/>
    <s v="Interbank Amex"/>
    <x v="3"/>
  </r>
  <r>
    <x v="1"/>
    <d v="2026-04-01T00:00:00"/>
    <x v="2"/>
    <x v="10"/>
    <n v="20"/>
    <s v="Interbank"/>
    <x v="3"/>
  </r>
  <r>
    <x v="1"/>
    <d v="2026-04-01T00:00:00"/>
    <x v="6"/>
    <x v="76"/>
    <n v="20"/>
    <s v="Interbank"/>
    <x v="3"/>
  </r>
  <r>
    <x v="1"/>
    <d v="2026-04-01T00:00:00"/>
    <x v="3"/>
    <x v="6"/>
    <n v="22"/>
    <s v="Interbank"/>
    <x v="3"/>
  </r>
  <r>
    <x v="1"/>
    <d v="2026-04-01T00:00:00"/>
    <x v="2"/>
    <x v="21"/>
    <n v="11.91"/>
    <s v="Interbank Amex"/>
    <x v="3"/>
  </r>
  <r>
    <x v="1"/>
    <d v="2026-04-01T00:00:00"/>
    <x v="3"/>
    <x v="13"/>
    <n v="29.5"/>
    <s v="Interbank"/>
    <x v="3"/>
  </r>
  <r>
    <x v="1"/>
    <d v="2026-04-01T00:00:00"/>
    <x v="2"/>
    <x v="5"/>
    <n v="117.3"/>
    <s v="Interbank"/>
    <x v="3"/>
  </r>
  <r>
    <x v="1"/>
    <d v="2026-04-02T00:00:00"/>
    <x v="3"/>
    <x v="62"/>
    <n v="55.89"/>
    <s v="Interbank Amex"/>
    <x v="3"/>
  </r>
  <r>
    <x v="1"/>
    <d v="2026-04-02T00:00:00"/>
    <x v="3"/>
    <x v="77"/>
    <n v="122.6"/>
    <s v="Interbank Amex"/>
    <x v="3"/>
  </r>
  <r>
    <x v="1"/>
    <d v="2026-04-02T00:00:00"/>
    <x v="3"/>
    <x v="17"/>
    <n v="22"/>
    <s v="Interbank Amex"/>
    <x v="3"/>
  </r>
  <r>
    <x v="1"/>
    <d v="2026-04-03T00:00:00"/>
    <x v="3"/>
    <x v="73"/>
    <n v="58.8"/>
    <s v="Interbank"/>
    <x v="3"/>
  </r>
  <r>
    <x v="1"/>
    <d v="2026-04-03T00:00:00"/>
    <x v="3"/>
    <x v="73"/>
    <n v="19.7"/>
    <s v="Interbank Amex"/>
    <x v="3"/>
  </r>
  <r>
    <x v="1"/>
    <d v="2026-04-04T00:00:00"/>
    <x v="3"/>
    <x v="73"/>
    <n v="88.75"/>
    <s v="Interbank Amex"/>
    <x v="3"/>
  </r>
  <r>
    <x v="1"/>
    <d v="2026-04-04T00:00:00"/>
    <x v="3"/>
    <x v="73"/>
    <n v="24"/>
    <s v="Interbank"/>
    <x v="3"/>
  </r>
  <r>
    <x v="1"/>
    <d v="2026-04-05T00:00:00"/>
    <x v="3"/>
    <x v="73"/>
    <n v="104.8"/>
    <s v="Interbank"/>
    <x v="3"/>
  </r>
  <r>
    <x v="1"/>
    <d v="2026-04-06T00:00:00"/>
    <x v="3"/>
    <x v="73"/>
    <n v="36"/>
    <s v="Interbank"/>
    <x v="3"/>
  </r>
  <r>
    <x v="1"/>
    <d v="2026-04-06T00:00:00"/>
    <x v="6"/>
    <x v="25"/>
    <n v="50"/>
    <s v="Interbank"/>
    <x v="3"/>
  </r>
  <r>
    <x v="1"/>
    <d v="2026-04-15T00:00:00"/>
    <x v="2"/>
    <x v="8"/>
    <n v="39.9"/>
    <s v="Interbank Amex"/>
    <x v="3"/>
  </r>
  <r>
    <x v="1"/>
    <d v="2026-04-07T00:00:00"/>
    <x v="3"/>
    <x v="73"/>
    <n v="10.4"/>
    <s v="Interbank"/>
    <x v="3"/>
  </r>
  <r>
    <x v="1"/>
    <d v="2026-04-08T00:00:00"/>
    <x v="3"/>
    <x v="38"/>
    <n v="55.72"/>
    <s v="Interbank Amex"/>
    <x v="3"/>
  </r>
  <r>
    <x v="1"/>
    <d v="2026-04-09T00:00:00"/>
    <x v="3"/>
    <x v="16"/>
    <n v="7.5"/>
    <s v="Interbank"/>
    <x v="3"/>
  </r>
  <r>
    <x v="1"/>
    <d v="2026-04-09T00:00:00"/>
    <x v="3"/>
    <x v="78"/>
    <n v="32"/>
    <s v="Interbank Amex"/>
    <x v="3"/>
  </r>
  <r>
    <x v="1"/>
    <d v="2026-04-09T00:00:00"/>
    <x v="3"/>
    <x v="79"/>
    <n v="69.22"/>
    <s v="Interbank Amex"/>
    <x v="3"/>
  </r>
  <r>
    <x v="1"/>
    <d v="2026-04-09T00:00:00"/>
    <x v="3"/>
    <x v="17"/>
    <n v="28"/>
    <s v="Interbank Amex"/>
    <x v="3"/>
  </r>
  <r>
    <x v="0"/>
    <d v="2026-04-09T00:00:00"/>
    <x v="0"/>
    <x v="80"/>
    <n v="100"/>
    <s v="Interbank"/>
    <x v="3"/>
  </r>
  <r>
    <x v="1"/>
    <d v="2026-04-10T00:00:00"/>
    <x v="3"/>
    <x v="17"/>
    <n v="18.899999999999999"/>
    <s v="Interbank Amex"/>
    <x v="3"/>
  </r>
  <r>
    <x v="1"/>
    <d v="2026-04-10T00:00:00"/>
    <x v="3"/>
    <x v="13"/>
    <n v="22.22"/>
    <s v="Interbank Amex"/>
    <x v="3"/>
  </r>
  <r>
    <x v="1"/>
    <d v="2026-04-10T00:00:00"/>
    <x v="3"/>
    <x v="13"/>
    <n v="10"/>
    <s v="Interbank"/>
    <x v="3"/>
  </r>
  <r>
    <x v="1"/>
    <d v="2026-04-11T00:00:00"/>
    <x v="3"/>
    <x v="78"/>
    <n v="42"/>
    <s v="Interbank Amex"/>
    <x v="3"/>
  </r>
  <r>
    <x v="1"/>
    <d v="2026-04-14T00:00:00"/>
    <x v="2"/>
    <x v="7"/>
    <n v="4.04"/>
    <s v="Interbank"/>
    <x v="3"/>
  </r>
  <r>
    <x v="0"/>
    <d v="2026-04-15T00:00:00"/>
    <x v="0"/>
    <x v="29"/>
    <n v="200"/>
    <s v="BCP"/>
    <x v="3"/>
  </r>
  <r>
    <x v="1"/>
    <d v="2026-04-15T00:00:00"/>
    <x v="6"/>
    <x v="25"/>
    <n v="200"/>
    <s v="BCP"/>
    <x v="3"/>
  </r>
  <r>
    <x v="1"/>
    <d v="2026-04-16T00:00:00"/>
    <x v="6"/>
    <x v="25"/>
    <n v="5"/>
    <s v="Interbank"/>
    <x v="3"/>
  </r>
  <r>
    <x v="0"/>
    <d v="2026-04-17T00:00:00"/>
    <x v="0"/>
    <x v="81"/>
    <n v="60"/>
    <s v="BCP"/>
    <x v="3"/>
  </r>
  <r>
    <x v="1"/>
    <d v="2026-04-17T00:00:00"/>
    <x v="3"/>
    <x v="33"/>
    <n v="16.7"/>
    <s v="BCP"/>
    <x v="3"/>
  </r>
  <r>
    <x v="1"/>
    <d v="2026-04-17T00:00:00"/>
    <x v="3"/>
    <x v="58"/>
    <n v="43.3"/>
    <s v="BCP"/>
    <x v="3"/>
  </r>
  <r>
    <x v="1"/>
    <d v="2026-04-18T00:00:00"/>
    <x v="3"/>
    <x v="82"/>
    <n v="40.479999999999997"/>
    <s v="Interbank"/>
    <x v="3"/>
  </r>
  <r>
    <x v="1"/>
    <d v="2026-04-18T00:00:00"/>
    <x v="3"/>
    <x v="78"/>
    <n v="40"/>
    <s v="Interbank Amex"/>
    <x v="3"/>
  </r>
  <r>
    <x v="1"/>
    <d v="2026-04-18T00:00:00"/>
    <x v="3"/>
    <x v="69"/>
    <n v="12"/>
    <s v="Interbank Amex"/>
    <x v="3"/>
  </r>
  <r>
    <x v="1"/>
    <d v="2026-04-19T00:00:00"/>
    <x v="3"/>
    <x v="16"/>
    <n v="3.96"/>
    <s v="Interbank Amex"/>
    <x v="3"/>
  </r>
  <r>
    <x v="1"/>
    <d v="2026-04-20T00:00:00"/>
    <x v="3"/>
    <x v="17"/>
    <n v="12"/>
    <s v="Interbank"/>
    <x v="3"/>
  </r>
  <r>
    <x v="1"/>
    <d v="2026-04-24T00:00:00"/>
    <x v="3"/>
    <x v="83"/>
    <n v="49.06"/>
    <s v="Interbank Amex"/>
    <x v="3"/>
  </r>
  <r>
    <x v="1"/>
    <d v="2026-04-25T00:00:00"/>
    <x v="2"/>
    <x v="26"/>
    <n v="32.22"/>
    <s v="Interbank Amex"/>
    <x v="3"/>
  </r>
  <r>
    <x v="1"/>
    <d v="2026-04-25T00:00:00"/>
    <x v="3"/>
    <x v="13"/>
    <n v="9.3000000000000007"/>
    <s v="Interbank"/>
    <x v="3"/>
  </r>
  <r>
    <x v="1"/>
    <d v="2026-04-26T00:00:00"/>
    <x v="3"/>
    <x v="33"/>
    <n v="21"/>
    <s v="Interbank"/>
    <x v="3"/>
  </r>
  <r>
    <x v="0"/>
    <d v="2026-05-01T00:00:00"/>
    <x v="0"/>
    <x v="0"/>
    <n v="32.1"/>
    <s v="Interbank"/>
    <x v="4"/>
  </r>
  <r>
    <x v="0"/>
    <d v="2026-05-01T00:00:00"/>
    <x v="1"/>
    <x v="1"/>
    <n v="2259.63"/>
    <s v="Interbank"/>
    <x v="4"/>
  </r>
  <r>
    <x v="1"/>
    <d v="2026-05-01T00:00:00"/>
    <x v="2"/>
    <x v="70"/>
    <n v="785"/>
    <s v="Interbank"/>
    <x v="4"/>
  </r>
  <r>
    <x v="1"/>
    <d v="2026-05-01T00:00:00"/>
    <x v="5"/>
    <x v="29"/>
    <n v="206.33"/>
    <s v="Interbank"/>
    <x v="4"/>
  </r>
  <r>
    <x v="1"/>
    <d v="2026-05-01T00:00:00"/>
    <x v="5"/>
    <x v="59"/>
    <n v="92.42"/>
    <s v="Interbank"/>
    <x v="4"/>
  </r>
  <r>
    <x v="1"/>
    <d v="2026-05-01T00:00:00"/>
    <x v="5"/>
    <x v="71"/>
    <n v="245.75"/>
    <s v="Interbank"/>
    <x v="4"/>
  </r>
  <r>
    <x v="1"/>
    <d v="2026-05-01T00:00:00"/>
    <x v="5"/>
    <x v="59"/>
    <n v="170"/>
    <s v="Interbank"/>
    <x v="4"/>
  </r>
  <r>
    <x v="0"/>
    <d v="2026-05-01T00:00:00"/>
    <x v="4"/>
    <x v="12"/>
    <n v="816.3"/>
    <s v="Interbank Amex"/>
    <x v="4"/>
  </r>
  <r>
    <x v="1"/>
    <d v="2026-05-01T00:00:00"/>
    <x v="5"/>
    <x v="67"/>
    <n v="100"/>
    <s v="Interbank"/>
    <x v="4"/>
  </r>
  <r>
    <x v="1"/>
    <d v="2026-05-01T00:00:00"/>
    <x v="3"/>
    <x v="17"/>
    <n v="11"/>
    <s v="Interbank"/>
    <x v="4"/>
  </r>
  <r>
    <x v="1"/>
    <d v="2026-05-01T00:00:00"/>
    <x v="3"/>
    <x v="84"/>
    <n v="80"/>
    <s v="Interbank"/>
    <x v="4"/>
  </r>
  <r>
    <x v="1"/>
    <d v="2026-05-01T00:00:00"/>
    <x v="3"/>
    <x v="38"/>
    <n v="2.2000000000000002"/>
    <s v="Interbank"/>
    <x v="4"/>
  </r>
  <r>
    <x v="1"/>
    <d v="2026-05-01T00:00:00"/>
    <x v="2"/>
    <x v="2"/>
    <n v="79"/>
    <s v="Interbank Amex"/>
    <x v="4"/>
  </r>
  <r>
    <x v="1"/>
    <d v="2026-05-01T00:00:00"/>
    <x v="2"/>
    <x v="3"/>
    <n v="84.5"/>
    <s v="Interbank Amex"/>
    <x v="4"/>
  </r>
  <r>
    <x v="1"/>
    <d v="2026-05-01T00:00:00"/>
    <x v="2"/>
    <x v="4"/>
    <n v="45"/>
    <s v="Interbank Amex"/>
    <x v="4"/>
  </r>
  <r>
    <x v="1"/>
    <d v="2026-05-01T00:00:00"/>
    <x v="2"/>
    <x v="10"/>
    <n v="20"/>
    <s v="Interbank"/>
    <x v="4"/>
  </r>
  <r>
    <x v="1"/>
    <d v="2026-05-01T00:00:00"/>
    <x v="5"/>
    <x v="81"/>
    <n v="60"/>
    <s v="Interbank"/>
    <x v="4"/>
  </r>
  <r>
    <x v="1"/>
    <d v="2026-05-01T00:00:00"/>
    <x v="3"/>
    <x v="13"/>
    <n v="14"/>
    <s v="Interbank"/>
    <x v="4"/>
  </r>
  <r>
    <x v="1"/>
    <d v="2026-05-01T00:00:00"/>
    <x v="3"/>
    <x v="63"/>
    <n v="50"/>
    <s v="Interbank Amex"/>
    <x v="4"/>
  </r>
  <r>
    <x v="1"/>
    <d v="2026-05-01T00:00:00"/>
    <x v="3"/>
    <x v="17"/>
    <n v="21"/>
    <s v="Interbank"/>
    <x v="4"/>
  </r>
  <r>
    <x v="1"/>
    <d v="2026-05-01T00:00:00"/>
    <x v="3"/>
    <x v="84"/>
    <n v="107.3"/>
    <s v="Interbank"/>
    <x v="4"/>
  </r>
  <r>
    <x v="1"/>
    <d v="2026-05-01T00:00:00"/>
    <x v="2"/>
    <x v="21"/>
    <n v="11.9"/>
    <s v="Interbank Amex"/>
    <x v="4"/>
  </r>
  <r>
    <x v="1"/>
    <d v="2026-05-01T00:00:00"/>
    <x v="2"/>
    <x v="5"/>
    <n v="162"/>
    <s v="Interbank"/>
    <x v="4"/>
  </r>
  <r>
    <x v="1"/>
    <d v="2026-05-02T00:00:00"/>
    <x v="3"/>
    <x v="17"/>
    <n v="14.5"/>
    <s v="Interbank"/>
    <x v="4"/>
  </r>
  <r>
    <x v="1"/>
    <d v="2026-05-02T00:00:00"/>
    <x v="3"/>
    <x v="16"/>
    <n v="3"/>
    <s v="Interbank"/>
    <x v="4"/>
  </r>
  <r>
    <x v="1"/>
    <d v="2026-05-03T00:00:00"/>
    <x v="3"/>
    <x v="24"/>
    <n v="14.61"/>
    <s v="Interbank"/>
    <x v="4"/>
  </r>
  <r>
    <x v="1"/>
    <d v="2026-05-04T00:00:00"/>
    <x v="2"/>
    <x v="9"/>
    <n v="20"/>
    <s v="Interbank"/>
    <x v="4"/>
  </r>
  <r>
    <x v="1"/>
    <d v="2026-05-04T00:00:00"/>
    <x v="3"/>
    <x v="85"/>
    <n v="92.36"/>
    <s v="Interbank Amex"/>
    <x v="4"/>
  </r>
  <r>
    <x v="1"/>
    <d v="2026-05-04T00:00:00"/>
    <x v="3"/>
    <x v="17"/>
    <n v="15"/>
    <s v="Interbank"/>
    <x v="4"/>
  </r>
  <r>
    <x v="1"/>
    <d v="2026-05-05T00:00:00"/>
    <x v="3"/>
    <x v="16"/>
    <n v="2"/>
    <s v="Interbank Amex"/>
    <x v="4"/>
  </r>
  <r>
    <x v="1"/>
    <d v="2026-05-05T00:00:00"/>
    <x v="3"/>
    <x v="17"/>
    <n v="9"/>
    <s v="Interbank"/>
    <x v="4"/>
  </r>
  <r>
    <x v="1"/>
    <d v="2026-05-06T00:00:00"/>
    <x v="3"/>
    <x v="38"/>
    <n v="63.4"/>
    <s v="Interbank Amex"/>
    <x v="4"/>
  </r>
  <r>
    <x v="1"/>
    <d v="2026-05-06T00:00:00"/>
    <x v="3"/>
    <x v="13"/>
    <n v="18"/>
    <s v="Interbank"/>
    <x v="4"/>
  </r>
  <r>
    <x v="1"/>
    <d v="2026-05-07T00:00:00"/>
    <x v="3"/>
    <x v="17"/>
    <n v="11.8"/>
    <s v="Interbank"/>
    <x v="4"/>
  </r>
  <r>
    <x v="1"/>
    <d v="2026-05-07T00:00:00"/>
    <x v="3"/>
    <x v="37"/>
    <n v="4.9000000000000004"/>
    <s v="Interbank Amex"/>
    <x v="4"/>
  </r>
  <r>
    <x v="1"/>
    <d v="2026-05-08T00:00:00"/>
    <x v="3"/>
    <x v="17"/>
    <n v="13"/>
    <s v="Interbank"/>
    <x v="4"/>
  </r>
  <r>
    <x v="1"/>
    <d v="2026-05-09T00:00:00"/>
    <x v="3"/>
    <x v="13"/>
    <n v="14.5"/>
    <s v="Interbank"/>
    <x v="4"/>
  </r>
  <r>
    <x v="1"/>
    <d v="2026-05-09T00:00:00"/>
    <x v="3"/>
    <x v="85"/>
    <n v="35"/>
    <s v="Interbank"/>
    <x v="4"/>
  </r>
  <r>
    <x v="1"/>
    <d v="2026-05-10T00:00:00"/>
    <x v="3"/>
    <x v="85"/>
    <n v="64.7"/>
    <s v="Interbank Amex"/>
    <x v="4"/>
  </r>
  <r>
    <x v="1"/>
    <d v="2026-05-12T00:00:00"/>
    <x v="3"/>
    <x v="86"/>
    <n v="50"/>
    <s v="Interbank Amex"/>
    <x v="4"/>
  </r>
  <r>
    <x v="1"/>
    <d v="2026-05-12T00:00:00"/>
    <x v="3"/>
    <x v="18"/>
    <n v="4.99"/>
    <s v="Interbank Amex"/>
    <x v="4"/>
  </r>
  <r>
    <x v="1"/>
    <d v="2026-05-12T00:00:00"/>
    <x v="3"/>
    <x v="13"/>
    <n v="2.5"/>
    <s v="Interbank"/>
    <x v="4"/>
  </r>
  <r>
    <x v="1"/>
    <d v="2026-05-12T00:00:00"/>
    <x v="3"/>
    <x v="33"/>
    <n v="12.5"/>
    <s v="Interbank"/>
    <x v="4"/>
  </r>
  <r>
    <x v="1"/>
    <d v="2026-05-12T00:00:00"/>
    <x v="3"/>
    <x v="17"/>
    <n v="10"/>
    <s v="Interbank"/>
    <x v="4"/>
  </r>
  <r>
    <x v="1"/>
    <d v="2026-05-12T00:00:00"/>
    <x v="3"/>
    <x v="18"/>
    <n v="10"/>
    <s v="Interbank Amex"/>
    <x v="4"/>
  </r>
  <r>
    <x v="0"/>
    <d v="2026-05-13T00:00:00"/>
    <x v="1"/>
    <x v="87"/>
    <n v="1469.67"/>
    <s v="Interbank"/>
    <x v="4"/>
  </r>
  <r>
    <x v="1"/>
    <d v="2026-05-13T00:00:00"/>
    <x v="6"/>
    <x v="88"/>
    <n v="700"/>
    <s v="Interbank"/>
    <x v="4"/>
  </r>
  <r>
    <x v="1"/>
    <d v="2026-05-14T00:00:00"/>
    <x v="3"/>
    <x v="28"/>
    <n v="59.99"/>
    <s v="Interbank Amex"/>
    <x v="4"/>
  </r>
  <r>
    <x v="1"/>
    <d v="2026-05-14T00:00:00"/>
    <x v="3"/>
    <x v="17"/>
    <n v="11.5"/>
    <s v="Interbank"/>
    <x v="4"/>
  </r>
  <r>
    <x v="1"/>
    <d v="2026-05-14T00:00:00"/>
    <x v="2"/>
    <x v="7"/>
    <n v="15.35"/>
    <s v="Interbank"/>
    <x v="4"/>
  </r>
  <r>
    <x v="1"/>
    <d v="2026-05-15T00:00:00"/>
    <x v="2"/>
    <x v="8"/>
    <n v="39.9"/>
    <s v="Interbank Amex"/>
    <x v="4"/>
  </r>
  <r>
    <x v="1"/>
    <d v="2026-05-15T00:00:00"/>
    <x v="3"/>
    <x v="6"/>
    <n v="39.049999999999997"/>
    <s v="Interbank"/>
    <x v="4"/>
  </r>
  <r>
    <x v="1"/>
    <d v="2026-05-16T00:00:00"/>
    <x v="3"/>
    <x v="16"/>
    <n v="2.19"/>
    <s v="Interbank Amex"/>
    <x v="4"/>
  </r>
  <r>
    <x v="1"/>
    <d v="2026-05-16T00:00:00"/>
    <x v="3"/>
    <x v="28"/>
    <n v="62"/>
    <s v="Interbank"/>
    <x v="4"/>
  </r>
  <r>
    <x v="1"/>
    <d v="2026-05-16T00:00:00"/>
    <x v="3"/>
    <x v="62"/>
    <n v="60.19"/>
    <s v="Interbank"/>
    <x v="4"/>
  </r>
  <r>
    <x v="1"/>
    <d v="2026-05-16T00:00:00"/>
    <x v="3"/>
    <x v="33"/>
    <n v="8.5"/>
    <s v="Interbank"/>
    <x v="4"/>
  </r>
  <r>
    <x v="1"/>
    <d v="2026-05-16T00:00:00"/>
    <x v="3"/>
    <x v="33"/>
    <n v="13"/>
    <s v="Interbank"/>
    <x v="4"/>
  </r>
  <r>
    <x v="1"/>
    <d v="2026-05-18T00:00:00"/>
    <x v="6"/>
    <x v="25"/>
    <n v="14"/>
    <s v="Interbank"/>
    <x v="4"/>
  </r>
  <r>
    <x v="1"/>
    <d v="2026-05-18T00:00:00"/>
    <x v="3"/>
    <x v="13"/>
    <n v="10"/>
    <s v="Interbank"/>
    <x v="4"/>
  </r>
  <r>
    <x v="1"/>
    <d v="2026-05-18T00:00:00"/>
    <x v="3"/>
    <x v="17"/>
    <n v="29"/>
    <s v="Interbank Amex"/>
    <x v="4"/>
  </r>
  <r>
    <x v="1"/>
    <d v="2026-05-18T00:00:00"/>
    <x v="3"/>
    <x v="13"/>
    <n v="7.5"/>
    <s v="Interbank"/>
    <x v="4"/>
  </r>
  <r>
    <x v="1"/>
    <d v="2026-05-19T00:00:00"/>
    <x v="2"/>
    <x v="10"/>
    <n v="20"/>
    <s v="Interbank"/>
    <x v="4"/>
  </r>
  <r>
    <x v="1"/>
    <d v="2026-05-21T00:00:00"/>
    <x v="3"/>
    <x v="33"/>
    <n v="5.69"/>
    <s v="Interbank"/>
    <x v="4"/>
  </r>
  <r>
    <x v="1"/>
    <d v="2026-05-22T00:00:00"/>
    <x v="3"/>
    <x v="89"/>
    <n v="83.08"/>
    <s v="Interbank"/>
    <x v="4"/>
  </r>
  <r>
    <x v="1"/>
    <d v="2026-05-23T00:00:00"/>
    <x v="3"/>
    <x v="17"/>
    <n v="28.1"/>
    <s v="Interbank Amex"/>
    <x v="4"/>
  </r>
  <r>
    <x v="1"/>
    <d v="2026-05-26T00:00:00"/>
    <x v="6"/>
    <x v="90"/>
    <n v="60"/>
    <s v="Interbank Amex"/>
    <x v="4"/>
  </r>
  <r>
    <x v="1"/>
    <d v="2026-05-26T00:00:00"/>
    <x v="3"/>
    <x v="91"/>
    <n v="20"/>
    <s v="Interbank"/>
    <x v="4"/>
  </r>
  <r>
    <x v="1"/>
    <d v="2026-05-27T00:00:00"/>
    <x v="3"/>
    <x v="63"/>
    <n v="12"/>
    <s v="Interbank Amex"/>
    <x v="4"/>
  </r>
  <r>
    <x v="0"/>
    <d v="2026-06-01T00:00:00"/>
    <x v="0"/>
    <x v="0"/>
    <n v="434.53000000000003"/>
    <s v="Interbank"/>
    <x v="5"/>
  </r>
  <r>
    <x v="0"/>
    <d v="2026-06-01T00:00:00"/>
    <x v="1"/>
    <x v="1"/>
    <n v="2259.63"/>
    <s v="Interbank"/>
    <x v="5"/>
  </r>
  <r>
    <x v="0"/>
    <d v="2026-06-01T00:00:00"/>
    <x v="4"/>
    <x v="12"/>
    <n v="1225.9000000000001"/>
    <s v="Ripley"/>
    <x v="5"/>
  </r>
  <r>
    <x v="0"/>
    <d v="2026-06-01T00:00:00"/>
    <x v="4"/>
    <x v="12"/>
    <n v="899.9"/>
    <s v="Interbank Amex"/>
    <x v="5"/>
  </r>
  <r>
    <x v="1"/>
    <d v="2026-06-01T00:00:00"/>
    <x v="6"/>
    <x v="81"/>
    <n v="15.659999999999998"/>
    <s v="Interbank"/>
    <x v="5"/>
  </r>
  <r>
    <x v="1"/>
    <d v="2026-06-01T00:00:00"/>
    <x v="2"/>
    <x v="70"/>
    <n v="880.45"/>
    <s v="Interbank"/>
    <x v="5"/>
  </r>
  <r>
    <x v="1"/>
    <d v="2026-06-01T00:00:00"/>
    <x v="2"/>
    <x v="10"/>
    <n v="20"/>
    <s v="Interbank"/>
    <x v="5"/>
  </r>
  <r>
    <x v="1"/>
    <d v="2026-06-01T00:00:00"/>
    <x v="6"/>
    <x v="88"/>
    <n v="434"/>
    <s v="Interbank"/>
    <x v="5"/>
  </r>
  <r>
    <x v="1"/>
    <d v="2026-06-01T00:00:00"/>
    <x v="6"/>
    <x v="25"/>
    <n v="26"/>
    <s v="Interbank"/>
    <x v="5"/>
  </r>
  <r>
    <x v="1"/>
    <d v="2026-06-01T00:00:00"/>
    <x v="6"/>
    <x v="90"/>
    <n v="10"/>
    <s v="Interbank"/>
    <x v="5"/>
  </r>
  <r>
    <x v="1"/>
    <d v="2026-06-01T00:00:00"/>
    <x v="3"/>
    <x v="38"/>
    <n v="54.2"/>
    <s v="Interbank Amex"/>
    <x v="5"/>
  </r>
  <r>
    <x v="1"/>
    <d v="2026-06-01T00:00:00"/>
    <x v="3"/>
    <x v="63"/>
    <n v="17"/>
    <s v="Interbank Amex"/>
    <x v="5"/>
  </r>
  <r>
    <x v="1"/>
    <d v="2026-06-01T00:00:00"/>
    <x v="5"/>
    <x v="71"/>
    <n v="245.75"/>
    <s v="Interbank"/>
    <x v="5"/>
  </r>
  <r>
    <x v="1"/>
    <d v="2026-06-01T00:00:00"/>
    <x v="6"/>
    <x v="90"/>
    <n v="60"/>
    <s v="Interbank Amex"/>
    <x v="5"/>
  </r>
  <r>
    <x v="1"/>
    <d v="2026-06-01T00:00:00"/>
    <x v="6"/>
    <x v="90"/>
    <n v="75"/>
    <s v="Interbank Amex"/>
    <x v="5"/>
  </r>
  <r>
    <x v="1"/>
    <d v="2026-06-01T00:00:00"/>
    <x v="3"/>
    <x v="13"/>
    <n v="3.67"/>
    <s v="Interbank"/>
    <x v="5"/>
  </r>
  <r>
    <x v="1"/>
    <d v="2026-06-01T00:00:00"/>
    <x v="3"/>
    <x v="17"/>
    <n v="37.9"/>
    <s v="Interbank"/>
    <x v="5"/>
  </r>
  <r>
    <x v="1"/>
    <d v="2026-06-01T00:00:00"/>
    <x v="3"/>
    <x v="16"/>
    <n v="8.5"/>
    <s v="Interbank"/>
    <x v="5"/>
  </r>
  <r>
    <x v="1"/>
    <d v="2026-06-01T00:00:00"/>
    <x v="3"/>
    <x v="92"/>
    <n v="66.66"/>
    <s v="Interbank"/>
    <x v="5"/>
  </r>
  <r>
    <x v="1"/>
    <d v="2026-06-01T00:00:00"/>
    <x v="3"/>
    <x v="93"/>
    <n v="41.17"/>
    <s v="Interbank"/>
    <x v="5"/>
  </r>
  <r>
    <x v="1"/>
    <d v="2026-06-01T00:00:00"/>
    <x v="3"/>
    <x v="13"/>
    <n v="7"/>
    <s v="Interbank"/>
    <x v="5"/>
  </r>
  <r>
    <x v="1"/>
    <d v="2026-06-01T00:00:00"/>
    <x v="3"/>
    <x v="13"/>
    <n v="2"/>
    <s v="Interbank"/>
    <x v="5"/>
  </r>
  <r>
    <x v="1"/>
    <d v="2026-06-01T00:00:00"/>
    <x v="3"/>
    <x v="20"/>
    <n v="27.5"/>
    <s v="Interbank Amex"/>
    <x v="5"/>
  </r>
  <r>
    <x v="1"/>
    <d v="2026-06-01T00:00:00"/>
    <x v="3"/>
    <x v="33"/>
    <n v="38.299999999999997"/>
    <s v="Interbank"/>
    <x v="5"/>
  </r>
  <r>
    <x v="1"/>
    <d v="2026-06-01T00:00:00"/>
    <x v="3"/>
    <x v="43"/>
    <n v="20"/>
    <s v="Interbank"/>
    <x v="5"/>
  </r>
  <r>
    <x v="1"/>
    <d v="2026-06-01T00:00:00"/>
    <x v="6"/>
    <x v="81"/>
    <n v="16.7"/>
    <s v="Interbank"/>
    <x v="5"/>
  </r>
  <r>
    <x v="1"/>
    <d v="2026-06-01T00:00:00"/>
    <x v="2"/>
    <x v="21"/>
    <n v="11.9"/>
    <s v="Interbank Amex"/>
    <x v="5"/>
  </r>
  <r>
    <x v="1"/>
    <d v="2026-06-01T00:00:00"/>
    <x v="6"/>
    <x v="80"/>
    <n v="9"/>
    <s v="Interbank"/>
    <x v="5"/>
  </r>
  <r>
    <x v="1"/>
    <d v="2026-06-01T00:00:00"/>
    <x v="2"/>
    <x v="5"/>
    <n v="158.1"/>
    <s v="Interbank"/>
    <x v="5"/>
  </r>
  <r>
    <x v="1"/>
    <d v="2026-06-01T00:00:00"/>
    <x v="2"/>
    <x v="2"/>
    <n v="79"/>
    <s v="Interbank Amex"/>
    <x v="5"/>
  </r>
  <r>
    <x v="1"/>
    <d v="2026-06-01T00:00:00"/>
    <x v="2"/>
    <x v="3"/>
    <n v="102"/>
    <s v="Interbank Amex"/>
    <x v="5"/>
  </r>
  <r>
    <x v="1"/>
    <d v="2026-06-01T00:00:00"/>
    <x v="2"/>
    <x v="4"/>
    <n v="44.9"/>
    <s v="Interbank Amex"/>
    <x v="5"/>
  </r>
  <r>
    <x v="1"/>
    <d v="2026-06-02T00:00:00"/>
    <x v="6"/>
    <x v="90"/>
    <n v="79.900000000000006"/>
    <s v="Interbank Amex"/>
    <x v="5"/>
  </r>
  <r>
    <x v="1"/>
    <d v="2026-06-02T00:00:00"/>
    <x v="3"/>
    <x v="13"/>
    <n v="3.5"/>
    <s v="Interbank"/>
    <x v="5"/>
  </r>
  <r>
    <x v="1"/>
    <d v="2026-06-02T00:00:00"/>
    <x v="6"/>
    <x v="90"/>
    <n v="15"/>
    <s v="Interbank"/>
    <x v="5"/>
  </r>
  <r>
    <x v="1"/>
    <d v="2026-06-02T00:00:00"/>
    <x v="3"/>
    <x v="13"/>
    <n v="3.5"/>
    <s v="Interbank"/>
    <x v="5"/>
  </r>
  <r>
    <x v="1"/>
    <d v="2026-06-03T00:00:00"/>
    <x v="3"/>
    <x v="94"/>
    <n v="170.4"/>
    <s v="Interbank Amex"/>
    <x v="5"/>
  </r>
  <r>
    <x v="1"/>
    <d v="2026-06-05T00:00:00"/>
    <x v="6"/>
    <x v="90"/>
    <n v="29.8"/>
    <s v="Interbank Amex"/>
    <x v="5"/>
  </r>
  <r>
    <x v="1"/>
    <d v="2026-06-05T00:00:00"/>
    <x v="3"/>
    <x v="63"/>
    <n v="19.5"/>
    <s v="Interbank Amex"/>
    <x v="5"/>
  </r>
  <r>
    <x v="1"/>
    <d v="2026-06-05T00:00:00"/>
    <x v="3"/>
    <x v="13"/>
    <n v="20"/>
    <s v="Interbank"/>
    <x v="5"/>
  </r>
  <r>
    <x v="1"/>
    <d v="2026-06-05T00:00:00"/>
    <x v="6"/>
    <x v="90"/>
    <n v="100.5"/>
    <s v="Interbank Amex"/>
    <x v="5"/>
  </r>
  <r>
    <x v="1"/>
    <d v="2026-06-05T00:00:00"/>
    <x v="6"/>
    <x v="90"/>
    <n v="30"/>
    <s v="Interbank Amex"/>
    <x v="5"/>
  </r>
  <r>
    <x v="1"/>
    <d v="2026-06-05T00:00:00"/>
    <x v="2"/>
    <x v="26"/>
    <n v="16.899999999999999"/>
    <s v="Ripley"/>
    <x v="5"/>
  </r>
  <r>
    <x v="1"/>
    <d v="2026-06-05T00:00:00"/>
    <x v="3"/>
    <x v="31"/>
    <n v="67.8"/>
    <s v="Ripley"/>
    <x v="5"/>
  </r>
  <r>
    <x v="1"/>
    <d v="2026-06-07T00:00:00"/>
    <x v="3"/>
    <x v="15"/>
    <n v="112"/>
    <s v="Ripley"/>
    <x v="5"/>
  </r>
  <r>
    <x v="1"/>
    <d v="2026-06-08T00:00:00"/>
    <x v="3"/>
    <x v="91"/>
    <n v="30"/>
    <s v="Ripley"/>
    <x v="5"/>
  </r>
  <r>
    <x v="0"/>
    <d v="2026-06-08T00:00:00"/>
    <x v="0"/>
    <x v="95"/>
    <n v="117.86"/>
    <s v="Interbank"/>
    <x v="5"/>
  </r>
  <r>
    <x v="1"/>
    <d v="2026-06-08T00:00:00"/>
    <x v="3"/>
    <x v="33"/>
    <n v="12"/>
    <s v="Interbank"/>
    <x v="5"/>
  </r>
  <r>
    <x v="1"/>
    <d v="2026-06-08T00:00:00"/>
    <x v="3"/>
    <x v="13"/>
    <n v="50"/>
    <s v="Interbank"/>
    <x v="5"/>
  </r>
  <r>
    <x v="1"/>
    <d v="2026-06-09T00:00:00"/>
    <x v="3"/>
    <x v="63"/>
    <n v="20"/>
    <s v="Ripley"/>
    <x v="5"/>
  </r>
  <r>
    <x v="1"/>
    <d v="2026-06-09T00:00:00"/>
    <x v="3"/>
    <x v="13"/>
    <n v="2.5"/>
    <s v="Interbank"/>
    <x v="5"/>
  </r>
  <r>
    <x v="1"/>
    <d v="2026-06-09T00:00:00"/>
    <x v="6"/>
    <x v="90"/>
    <n v="10"/>
    <s v="Interbank"/>
    <x v="5"/>
  </r>
  <r>
    <x v="1"/>
    <d v="2026-06-09T00:00:00"/>
    <x v="3"/>
    <x v="13"/>
    <n v="6.5"/>
    <s v="Interbank"/>
    <x v="5"/>
  </r>
  <r>
    <x v="1"/>
    <d v="2026-06-09T00:00:00"/>
    <x v="3"/>
    <x v="13"/>
    <n v="4"/>
    <s v="Interbank"/>
    <x v="5"/>
  </r>
  <r>
    <x v="1"/>
    <d v="2026-06-09T00:00:00"/>
    <x v="3"/>
    <x v="63"/>
    <n v="13"/>
    <s v="Ripley"/>
    <x v="5"/>
  </r>
  <r>
    <x v="1"/>
    <d v="2026-06-09T00:00:00"/>
    <x v="6"/>
    <x v="90"/>
    <n v="55.3"/>
    <s v="Ripley"/>
    <x v="5"/>
  </r>
  <r>
    <x v="1"/>
    <d v="2026-06-10T00:00:00"/>
    <x v="3"/>
    <x v="63"/>
    <n v="18"/>
    <s v="Interbank Amex"/>
    <x v="5"/>
  </r>
  <r>
    <x v="1"/>
    <d v="2026-06-10T00:00:00"/>
    <x v="3"/>
    <x v="15"/>
    <n v="25.5"/>
    <s v="Interbank Amex"/>
    <x v="5"/>
  </r>
  <r>
    <x v="1"/>
    <d v="2026-06-10T00:00:00"/>
    <x v="3"/>
    <x v="13"/>
    <n v="5.5"/>
    <s v="Interbank"/>
    <x v="5"/>
  </r>
  <r>
    <x v="1"/>
    <d v="2026-06-10T00:00:00"/>
    <x v="3"/>
    <x v="13"/>
    <n v="11.6"/>
    <s v="Interbank"/>
    <x v="5"/>
  </r>
  <r>
    <x v="1"/>
    <d v="2026-06-11T00:00:00"/>
    <x v="2"/>
    <x v="64"/>
    <n v="21.5"/>
    <s v="Interbank"/>
    <x v="5"/>
  </r>
  <r>
    <x v="1"/>
    <d v="2026-06-11T00:00:00"/>
    <x v="6"/>
    <x v="90"/>
    <n v="69"/>
    <s v="Interbank"/>
    <x v="5"/>
  </r>
  <r>
    <x v="0"/>
    <d v="2026-06-11T00:00:00"/>
    <x v="0"/>
    <x v="96"/>
    <n v="600"/>
    <s v="Interbank"/>
    <x v="5"/>
  </r>
  <r>
    <x v="1"/>
    <d v="2026-06-11T00:00:00"/>
    <x v="3"/>
    <x v="16"/>
    <n v="5"/>
    <s v="Interbank"/>
    <x v="5"/>
  </r>
  <r>
    <x v="1"/>
    <d v="2026-06-11T00:00:00"/>
    <x v="3"/>
    <x v="97"/>
    <n v="9"/>
    <s v="Interbank"/>
    <x v="5"/>
  </r>
  <r>
    <x v="1"/>
    <d v="2026-06-12T00:00:00"/>
    <x v="3"/>
    <x v="17"/>
    <n v="10"/>
    <s v="Interbank"/>
    <x v="5"/>
  </r>
  <r>
    <x v="1"/>
    <d v="2026-06-12T00:00:00"/>
    <x v="3"/>
    <x v="13"/>
    <n v="7"/>
    <s v="Interbank"/>
    <x v="5"/>
  </r>
  <r>
    <x v="1"/>
    <d v="2026-06-13T00:00:00"/>
    <x v="6"/>
    <x v="90"/>
    <n v="25"/>
    <s v="Interbank"/>
    <x v="5"/>
  </r>
  <r>
    <x v="1"/>
    <d v="2026-06-13T00:00:00"/>
    <x v="3"/>
    <x v="17"/>
    <n v="10"/>
    <s v="Interbank"/>
    <x v="5"/>
  </r>
  <r>
    <x v="1"/>
    <d v="2026-06-13T00:00:00"/>
    <x v="3"/>
    <x v="13"/>
    <n v="21.5"/>
    <s v="Interbank"/>
    <x v="5"/>
  </r>
  <r>
    <x v="1"/>
    <d v="2026-06-13T00:00:00"/>
    <x v="6"/>
    <x v="90"/>
    <n v="16.5"/>
    <s v="Interbank"/>
    <x v="5"/>
  </r>
  <r>
    <x v="1"/>
    <d v="2026-06-13T00:00:00"/>
    <x v="6"/>
    <x v="90"/>
    <n v="16"/>
    <s v="Interbank Amex"/>
    <x v="5"/>
  </r>
  <r>
    <x v="1"/>
    <d v="2026-06-13T00:00:00"/>
    <x v="3"/>
    <x v="66"/>
    <n v="100"/>
    <s v="Ripley"/>
    <x v="5"/>
  </r>
  <r>
    <x v="1"/>
    <d v="2026-06-13T00:00:00"/>
    <x v="3"/>
    <x v="65"/>
    <n v="54"/>
    <s v="Ripley"/>
    <x v="5"/>
  </r>
  <r>
    <x v="1"/>
    <d v="2026-06-13T00:00:00"/>
    <x v="6"/>
    <x v="90"/>
    <n v="106"/>
    <s v="Interbank"/>
    <x v="5"/>
  </r>
  <r>
    <x v="1"/>
    <d v="2026-06-13T00:00:00"/>
    <x v="3"/>
    <x v="13"/>
    <n v="10.4"/>
    <s v="Interbank"/>
    <x v="5"/>
  </r>
  <r>
    <x v="1"/>
    <d v="2026-06-13T00:00:00"/>
    <x v="6"/>
    <x v="90"/>
    <n v="70"/>
    <s v="Interbank"/>
    <x v="5"/>
  </r>
  <r>
    <x v="1"/>
    <d v="2026-06-13T00:00:00"/>
    <x v="6"/>
    <x v="90"/>
    <n v="5"/>
    <s v="Interbank"/>
    <x v="5"/>
  </r>
  <r>
    <x v="1"/>
    <d v="2026-06-13T00:00:00"/>
    <x v="6"/>
    <x v="90"/>
    <n v="39.9"/>
    <s v="Interbank"/>
    <x v="5"/>
  </r>
  <r>
    <x v="1"/>
    <d v="2026-06-13T00:00:00"/>
    <x v="3"/>
    <x v="13"/>
    <n v="10"/>
    <s v="Interbank"/>
    <x v="5"/>
  </r>
  <r>
    <x v="1"/>
    <d v="2026-06-13T00:00:00"/>
    <x v="3"/>
    <x v="66"/>
    <n v="144.91999999999999"/>
    <s v="Ripley"/>
    <x v="5"/>
  </r>
  <r>
    <x v="0"/>
    <d v="2026-06-13T00:00:00"/>
    <x v="0"/>
    <x v="90"/>
    <n v="145"/>
    <s v="Interbank"/>
    <x v="5"/>
  </r>
  <r>
    <x v="1"/>
    <d v="2026-06-14T00:00:00"/>
    <x v="2"/>
    <x v="7"/>
    <n v="14.96"/>
    <s v="Interbank"/>
    <x v="5"/>
  </r>
  <r>
    <x v="1"/>
    <d v="2026-06-14T00:00:00"/>
    <x v="3"/>
    <x v="17"/>
    <n v="12"/>
    <s v="Interbank"/>
    <x v="5"/>
  </r>
  <r>
    <x v="1"/>
    <d v="2026-06-15T00:00:00"/>
    <x v="2"/>
    <x v="8"/>
    <n v="39.9"/>
    <s v="Interbank Amex"/>
    <x v="5"/>
  </r>
  <r>
    <x v="1"/>
    <d v="2026-06-15T00:00:00"/>
    <x v="2"/>
    <x v="9"/>
    <n v="21.909999999999997"/>
    <s v="Interbank"/>
    <x v="5"/>
  </r>
  <r>
    <x v="1"/>
    <d v="2026-06-15T00:00:00"/>
    <x v="2"/>
    <x v="9"/>
    <n v="40"/>
    <s v="Interbank"/>
    <x v="5"/>
  </r>
  <r>
    <x v="1"/>
    <d v="2026-06-16T00:00:00"/>
    <x v="3"/>
    <x v="13"/>
    <n v="7"/>
    <s v="Interbank"/>
    <x v="5"/>
  </r>
  <r>
    <x v="1"/>
    <d v="2026-06-16T00:00:00"/>
    <x v="3"/>
    <x v="63"/>
    <n v="13.5"/>
    <s v="Interbank"/>
    <x v="5"/>
  </r>
  <r>
    <x v="1"/>
    <d v="2026-06-16T00:00:00"/>
    <x v="3"/>
    <x v="17"/>
    <n v="10"/>
    <s v="Interbank"/>
    <x v="5"/>
  </r>
  <r>
    <x v="1"/>
    <d v="2026-06-17T00:00:00"/>
    <x v="3"/>
    <x v="17"/>
    <n v="12.77"/>
    <s v="Interbank"/>
    <x v="5"/>
  </r>
  <r>
    <x v="0"/>
    <d v="2026-06-19T00:00:00"/>
    <x v="0"/>
    <x v="91"/>
    <n v="50"/>
    <s v="Interbank"/>
    <x v="5"/>
  </r>
  <r>
    <x v="1"/>
    <d v="2026-06-19T00:00:00"/>
    <x v="3"/>
    <x v="16"/>
    <n v="3"/>
    <s v="Interbank"/>
    <x v="5"/>
  </r>
  <r>
    <x v="1"/>
    <d v="2026-06-19T00:00:00"/>
    <x v="3"/>
    <x v="33"/>
    <n v="5"/>
    <s v="Interbank"/>
    <x v="5"/>
  </r>
  <r>
    <x v="1"/>
    <d v="2026-06-20T00:00:00"/>
    <x v="3"/>
    <x v="13"/>
    <n v="1.5"/>
    <s v="Interbank"/>
    <x v="5"/>
  </r>
  <r>
    <x v="1"/>
    <d v="2026-06-20T00:00:00"/>
    <x v="3"/>
    <x v="13"/>
    <n v="4.5"/>
    <s v="Interbank"/>
    <x v="5"/>
  </r>
  <r>
    <x v="1"/>
    <d v="2026-06-20T00:00:00"/>
    <x v="3"/>
    <x v="97"/>
    <n v="12"/>
    <s v="Interbank"/>
    <x v="5"/>
  </r>
  <r>
    <x v="1"/>
    <d v="2026-06-20T00:00:00"/>
    <x v="3"/>
    <x v="6"/>
    <n v="22"/>
    <s v="Interbank"/>
    <x v="5"/>
  </r>
  <r>
    <x v="1"/>
    <d v="2026-06-20T00:00:00"/>
    <x v="3"/>
    <x v="18"/>
    <n v="3.99"/>
    <s v="Interbank Amex"/>
    <x v="5"/>
  </r>
  <r>
    <x v="1"/>
    <d v="2026-06-20T00:00:00"/>
    <x v="3"/>
    <x v="33"/>
    <n v="23"/>
    <s v="Interbank"/>
    <x v="5"/>
  </r>
  <r>
    <x v="1"/>
    <d v="2026-06-21T00:00:00"/>
    <x v="3"/>
    <x v="24"/>
    <n v="21.23"/>
    <s v="Interbank Amex"/>
    <x v="5"/>
  </r>
  <r>
    <x v="1"/>
    <d v="2026-06-21T00:00:00"/>
    <x v="3"/>
    <x v="20"/>
    <n v="18.899999999999999"/>
    <s v="Interbank Amex"/>
    <x v="5"/>
  </r>
  <r>
    <x v="1"/>
    <d v="2026-06-21T00:00:00"/>
    <x v="3"/>
    <x v="20"/>
    <n v="35.200000000000003"/>
    <s v="Interbank"/>
    <x v="5"/>
  </r>
  <r>
    <x v="1"/>
    <d v="2026-06-22T00:00:00"/>
    <x v="6"/>
    <x v="90"/>
    <n v="55"/>
    <s v="Interbank Amex"/>
    <x v="5"/>
  </r>
  <r>
    <x v="1"/>
    <d v="2026-06-22T00:00:00"/>
    <x v="3"/>
    <x v="37"/>
    <n v="12"/>
    <s v="Interbank Amex"/>
    <x v="5"/>
  </r>
  <r>
    <x v="1"/>
    <d v="2026-06-22T00:00:00"/>
    <x v="3"/>
    <x v="42"/>
    <n v="5"/>
    <s v="Interbank Amex"/>
    <x v="5"/>
  </r>
  <r>
    <x v="1"/>
    <d v="2026-06-22T00:00:00"/>
    <x v="3"/>
    <x v="13"/>
    <n v="13"/>
    <s v="Interbank"/>
    <x v="5"/>
  </r>
  <r>
    <x v="1"/>
    <d v="2026-06-22T00:00:00"/>
    <x v="3"/>
    <x v="38"/>
    <n v="22.9"/>
    <s v="Ripley"/>
    <x v="5"/>
  </r>
  <r>
    <x v="1"/>
    <d v="2026-06-23T00:00:00"/>
    <x v="3"/>
    <x v="20"/>
    <n v="96"/>
    <s v="Ripley"/>
    <x v="5"/>
  </r>
  <r>
    <x v="1"/>
    <d v="2026-06-23T00:00:00"/>
    <x v="6"/>
    <x v="90"/>
    <n v="40"/>
    <s v="Ripley"/>
    <x v="5"/>
  </r>
  <r>
    <x v="0"/>
    <d v="2026-07-01T00:00:00"/>
    <x v="0"/>
    <x v="0"/>
    <n v="474.93999999999988"/>
    <s v="Interbank"/>
    <x v="6"/>
  </r>
  <r>
    <x v="0"/>
    <d v="2026-07-01T00:00:00"/>
    <x v="1"/>
    <x v="1"/>
    <n v="2259.63"/>
    <s v="Interbank"/>
    <x v="6"/>
  </r>
  <r>
    <x v="0"/>
    <d v="2026-07-01T00:00:00"/>
    <x v="4"/>
    <x v="12"/>
    <n v="883.88"/>
    <s v="Interbank Amex"/>
    <x v="6"/>
  </r>
  <r>
    <x v="1"/>
    <d v="2026-07-01T00:00:00"/>
    <x v="2"/>
    <x v="70"/>
    <n v="878"/>
    <s v="Interbank"/>
    <x v="6"/>
  </r>
  <r>
    <x v="0"/>
    <d v="2026-07-01T00:00:00"/>
    <x v="4"/>
    <x v="12"/>
    <n v="227.18"/>
    <s v="Ripley"/>
    <x v="6"/>
  </r>
  <r>
    <x v="1"/>
    <d v="2026-07-01T00:00:00"/>
    <x v="6"/>
    <x v="88"/>
    <n v="380"/>
    <s v="Interbank"/>
    <x v="6"/>
  </r>
  <r>
    <x v="1"/>
    <d v="2026-07-01T00:00:00"/>
    <x v="2"/>
    <x v="2"/>
    <n v="79"/>
    <s v="Interbank Amex"/>
    <x v="6"/>
  </r>
  <r>
    <x v="1"/>
    <d v="2026-07-01T00:00:00"/>
    <x v="2"/>
    <x v="3"/>
    <n v="94"/>
    <s v="Interbank Amex"/>
    <x v="6"/>
  </r>
  <r>
    <x v="1"/>
    <d v="2026-07-01T00:00:00"/>
    <x v="2"/>
    <x v="4"/>
    <n v="48.5"/>
    <s v="Interbank Amex"/>
    <x v="6"/>
  </r>
  <r>
    <x v="1"/>
    <d v="2026-07-01T00:00:00"/>
    <x v="5"/>
    <x v="96"/>
    <n v="116.85"/>
    <s v="Interbank"/>
    <x v="6"/>
  </r>
  <r>
    <x v="1"/>
    <d v="2026-07-01T00:00:00"/>
    <x v="2"/>
    <x v="5"/>
    <n v="160"/>
    <s v="Interbank"/>
    <x v="6"/>
  </r>
  <r>
    <x v="1"/>
    <d v="2026-07-01T00:00:00"/>
    <x v="5"/>
    <x v="71"/>
    <n v="245.75"/>
    <s v="Interbank"/>
    <x v="6"/>
  </r>
  <r>
    <x v="1"/>
    <d v="2026-07-01T00:00:00"/>
    <x v="3"/>
    <x v="17"/>
    <n v="12"/>
    <s v="Interbank"/>
    <x v="6"/>
  </r>
  <r>
    <x v="1"/>
    <d v="2026-07-01T00:00:00"/>
    <x v="3"/>
    <x v="13"/>
    <n v="4"/>
    <s v="Interbank"/>
    <x v="6"/>
  </r>
  <r>
    <x v="1"/>
    <d v="2026-07-01T00:00:00"/>
    <x v="6"/>
    <x v="90"/>
    <n v="47"/>
    <s v="Interbank Amex"/>
    <x v="6"/>
  </r>
  <r>
    <x v="1"/>
    <d v="2026-07-01T00:00:00"/>
    <x v="6"/>
    <x v="90"/>
    <n v="58.5"/>
    <s v="Interbank Amex"/>
    <x v="6"/>
  </r>
  <r>
    <x v="1"/>
    <d v="2026-07-01T00:00:00"/>
    <x v="6"/>
    <x v="90"/>
    <n v="50"/>
    <s v="Interbank Amex"/>
    <x v="6"/>
  </r>
  <r>
    <x v="1"/>
    <d v="2026-07-01T00:00:00"/>
    <x v="3"/>
    <x v="13"/>
    <n v="8"/>
    <s v="Interbank"/>
    <x v="6"/>
  </r>
  <r>
    <x v="1"/>
    <d v="2026-07-01T00:00:00"/>
    <x v="3"/>
    <x v="17"/>
    <n v="10"/>
    <s v="Interbank"/>
    <x v="6"/>
  </r>
  <r>
    <x v="1"/>
    <d v="2026-07-01T00:00:00"/>
    <x v="3"/>
    <x v="38"/>
    <n v="15.6"/>
    <s v="Interbank Amex"/>
    <x v="6"/>
  </r>
  <r>
    <x v="1"/>
    <d v="2026-07-01T00:00:00"/>
    <x v="3"/>
    <x v="17"/>
    <n v="12"/>
    <s v="Interbank"/>
    <x v="6"/>
  </r>
  <r>
    <x v="1"/>
    <d v="2026-07-01T00:00:00"/>
    <x v="3"/>
    <x v="13"/>
    <n v="6"/>
    <s v="Interbank"/>
    <x v="6"/>
  </r>
  <r>
    <x v="1"/>
    <d v="2026-07-01T00:00:00"/>
    <x v="3"/>
    <x v="63"/>
    <n v="18"/>
    <s v="Interbank Amex"/>
    <x v="6"/>
  </r>
  <r>
    <x v="1"/>
    <d v="2026-07-01T00:00:00"/>
    <x v="6"/>
    <x v="90"/>
    <n v="30"/>
    <s v="Interbank"/>
    <x v="6"/>
  </r>
  <r>
    <x v="1"/>
    <d v="2026-07-01T00:00:00"/>
    <x v="6"/>
    <x v="90"/>
    <n v="60"/>
    <s v="Interbank Amex"/>
    <x v="6"/>
  </r>
  <r>
    <x v="1"/>
    <d v="2026-07-01T00:00:00"/>
    <x v="2"/>
    <x v="21"/>
    <n v="11.9"/>
    <s v="Interbank Amex"/>
    <x v="6"/>
  </r>
  <r>
    <x v="1"/>
    <d v="2026-07-01T00:00:00"/>
    <x v="3"/>
    <x v="13"/>
    <n v="8"/>
    <s v="Interbank"/>
    <x v="6"/>
  </r>
  <r>
    <x v="1"/>
    <d v="2026-07-01T00:00:00"/>
    <x v="6"/>
    <x v="90"/>
    <n v="39"/>
    <s v="Ripley"/>
    <x v="6"/>
  </r>
  <r>
    <x v="0"/>
    <d v="2026-07-02T00:00:00"/>
    <x v="4"/>
    <x v="12"/>
    <n v="700"/>
    <s v="BBVA Bfree"/>
    <x v="6"/>
  </r>
  <r>
    <x v="1"/>
    <d v="2026-07-02T00:00:00"/>
    <x v="3"/>
    <x v="91"/>
    <n v="30"/>
    <s v="Interbank"/>
    <x v="6"/>
  </r>
  <r>
    <x v="1"/>
    <d v="2026-07-03T00:00:00"/>
    <x v="6"/>
    <x v="98"/>
    <n v="178.99"/>
    <s v="BBVA Bfree"/>
    <x v="6"/>
  </r>
  <r>
    <x v="1"/>
    <d v="2026-07-04T00:00:00"/>
    <x v="3"/>
    <x v="13"/>
    <n v="15.5"/>
    <s v="Interbank"/>
    <x v="6"/>
  </r>
  <r>
    <x v="1"/>
    <d v="2026-07-04T00:00:00"/>
    <x v="2"/>
    <x v="26"/>
    <n v="15.9"/>
    <s v="Ripley"/>
    <x v="6"/>
  </r>
  <r>
    <x v="1"/>
    <d v="2026-07-04T00:00:00"/>
    <x v="6"/>
    <x v="90"/>
    <n v="45.9"/>
    <s v="Ripley"/>
    <x v="6"/>
  </r>
  <r>
    <x v="1"/>
    <d v="2026-07-04T00:00:00"/>
    <x v="6"/>
    <x v="90"/>
    <n v="65"/>
    <s v="Ripley"/>
    <x v="6"/>
  </r>
  <r>
    <x v="1"/>
    <d v="2026-07-04T00:00:00"/>
    <x v="6"/>
    <x v="90"/>
    <n v="34"/>
    <s v="Ripley"/>
    <x v="6"/>
  </r>
  <r>
    <x v="1"/>
    <d v="2026-07-04T00:00:00"/>
    <x v="3"/>
    <x v="37"/>
    <n v="20"/>
    <s v="Ripley"/>
    <x v="6"/>
  </r>
  <r>
    <x v="1"/>
    <d v="2026-07-06T00:00:00"/>
    <x v="6"/>
    <x v="25"/>
    <n v="6"/>
    <s v="Interbank"/>
    <x v="6"/>
  </r>
  <r>
    <x v="1"/>
    <d v="2026-07-06T00:00:00"/>
    <x v="6"/>
    <x v="90"/>
    <n v="23"/>
    <s v="Interbank"/>
    <x v="6"/>
  </r>
  <r>
    <x v="1"/>
    <d v="2026-07-06T00:00:00"/>
    <x v="3"/>
    <x v="13"/>
    <n v="11"/>
    <s v="Interbank"/>
    <x v="6"/>
  </r>
  <r>
    <x v="1"/>
    <d v="2026-07-06T00:00:00"/>
    <x v="3"/>
    <x v="91"/>
    <n v="30"/>
    <s v="Interbank"/>
    <x v="6"/>
  </r>
  <r>
    <x v="1"/>
    <d v="2026-07-06T00:00:00"/>
    <x v="6"/>
    <x v="81"/>
    <n v="10"/>
    <s v="Interbank"/>
    <x v="6"/>
  </r>
  <r>
    <x v="1"/>
    <d v="2026-07-07T00:00:00"/>
    <x v="3"/>
    <x v="38"/>
    <n v="1.3"/>
    <s v="Interbank"/>
    <x v="6"/>
  </r>
  <r>
    <x v="1"/>
    <d v="2026-07-07T00:00:00"/>
    <x v="3"/>
    <x v="13"/>
    <n v="2.5"/>
    <s v="Interbank"/>
    <x v="6"/>
  </r>
  <r>
    <x v="1"/>
    <d v="2026-07-08T00:00:00"/>
    <x v="3"/>
    <x v="17"/>
    <n v="13"/>
    <s v="Interbank"/>
    <x v="6"/>
  </r>
  <r>
    <x v="1"/>
    <d v="2026-07-10T00:00:00"/>
    <x v="6"/>
    <x v="90"/>
    <n v="20"/>
    <s v="Interbank"/>
    <x v="6"/>
  </r>
  <r>
    <x v="0"/>
    <d v="2026-07-10T00:00:00"/>
    <x v="1"/>
    <x v="99"/>
    <n v="2721.6"/>
    <s v="Interbank"/>
    <x v="6"/>
  </r>
  <r>
    <x v="1"/>
    <d v="2026-07-10T00:00:00"/>
    <x v="3"/>
    <x v="100"/>
    <n v="2084.8000000000002"/>
    <s v="Interbank"/>
    <x v="6"/>
  </r>
  <r>
    <x v="1"/>
    <d v="2026-07-10T00:00:00"/>
    <x v="6"/>
    <x v="88"/>
    <n v="160.00000000000006"/>
    <s v="Interbank"/>
    <x v="6"/>
  </r>
  <r>
    <x v="1"/>
    <d v="2026-07-10T00:00:00"/>
    <x v="2"/>
    <x v="26"/>
    <n v="0.61"/>
    <s v="BBVA Bfree"/>
    <x v="6"/>
  </r>
  <r>
    <x v="1"/>
    <d v="2026-07-11T00:00:00"/>
    <x v="3"/>
    <x v="13"/>
    <n v="34.5"/>
    <s v="Interbank"/>
    <x v="6"/>
  </r>
  <r>
    <x v="1"/>
    <d v="2026-07-11T00:00:00"/>
    <x v="3"/>
    <x v="27"/>
    <n v="12"/>
    <s v="Interbank"/>
    <x v="6"/>
  </r>
  <r>
    <x v="1"/>
    <d v="2026-07-11T00:00:00"/>
    <x v="6"/>
    <x v="90"/>
    <n v="38"/>
    <s v="Interbank"/>
    <x v="6"/>
  </r>
  <r>
    <x v="1"/>
    <d v="2026-07-11T00:00:00"/>
    <x v="6"/>
    <x v="90"/>
    <n v="49.5"/>
    <s v="Interbank"/>
    <x v="6"/>
  </r>
  <r>
    <x v="1"/>
    <d v="2026-07-11T00:00:00"/>
    <x v="3"/>
    <x v="63"/>
    <n v="16"/>
    <s v="Interbank Amex"/>
    <x v="6"/>
  </r>
  <r>
    <x v="1"/>
    <d v="2026-07-11T00:00:00"/>
    <x v="3"/>
    <x v="65"/>
    <n v="3"/>
    <s v="BBVA Bfree"/>
    <x v="6"/>
  </r>
  <r>
    <x v="1"/>
    <d v="2026-07-11T00:00:00"/>
    <x v="6"/>
    <x v="90"/>
    <n v="56"/>
    <s v="BBVA Bfree"/>
    <x v="6"/>
  </r>
  <r>
    <x v="1"/>
    <d v="2026-07-12T00:00:00"/>
    <x v="3"/>
    <x v="17"/>
    <n v="15"/>
    <s v="Interbank"/>
    <x v="6"/>
  </r>
  <r>
    <x v="1"/>
    <d v="2026-07-15T00:00:00"/>
    <x v="5"/>
    <x v="95"/>
    <n v="143.16"/>
    <s v="Interbank"/>
    <x v="6"/>
  </r>
  <r>
    <x v="1"/>
    <d v="2026-07-15T00:00:00"/>
    <x v="3"/>
    <x v="101"/>
    <n v="132"/>
    <s v="Interbank"/>
    <x v="6"/>
  </r>
  <r>
    <x v="1"/>
    <d v="2026-07-15T00:00:00"/>
    <x v="3"/>
    <x v="13"/>
    <n v="17.5"/>
    <s v="Interbank"/>
    <x v="6"/>
  </r>
  <r>
    <x v="1"/>
    <d v="2026-07-15T00:00:00"/>
    <x v="3"/>
    <x v="63"/>
    <n v="20"/>
    <s v="BBVA Bfree"/>
    <x v="6"/>
  </r>
  <r>
    <x v="1"/>
    <d v="2026-07-15T00:00:00"/>
    <x v="3"/>
    <x v="32"/>
    <n v="96"/>
    <s v="BBVA Bfree"/>
    <x v="6"/>
  </r>
  <r>
    <x v="1"/>
    <d v="2026-07-15T00:00:00"/>
    <x v="6"/>
    <x v="90"/>
    <n v="16"/>
    <s v="BBVA Bfree"/>
    <x v="6"/>
  </r>
  <r>
    <x v="1"/>
    <d v="2026-07-17T00:00:00"/>
    <x v="3"/>
    <x v="13"/>
    <n v="11.5"/>
    <s v="Interbank"/>
    <x v="6"/>
  </r>
  <r>
    <x v="1"/>
    <d v="2026-07-17T00:00:00"/>
    <x v="6"/>
    <x v="90"/>
    <n v="15"/>
    <s v="Interbank"/>
    <x v="6"/>
  </r>
  <r>
    <x v="1"/>
    <d v="2026-07-18T00:00:00"/>
    <x v="3"/>
    <x v="13"/>
    <n v="55"/>
    <s v="Interbank"/>
    <x v="6"/>
  </r>
  <r>
    <x v="1"/>
    <d v="2026-07-18T00:00:00"/>
    <x v="3"/>
    <x v="30"/>
    <n v="12"/>
    <s v="Interbank"/>
    <x v="6"/>
  </r>
  <r>
    <x v="1"/>
    <d v="2026-07-18T00:00:00"/>
    <x v="6"/>
    <x v="90"/>
    <n v="74.72"/>
    <s v="Interbank Amex"/>
    <x v="6"/>
  </r>
  <r>
    <x v="1"/>
    <d v="2026-07-19T00:00:00"/>
    <x v="3"/>
    <x v="56"/>
    <n v="11"/>
    <s v="Interbank"/>
    <x v="6"/>
  </r>
  <r>
    <x v="1"/>
    <d v="2026-07-19T00:00:00"/>
    <x v="3"/>
    <x v="13"/>
    <n v="8"/>
    <s v="Interbank"/>
    <x v="6"/>
  </r>
  <r>
    <x v="1"/>
    <d v="2026-07-19T00:00:00"/>
    <x v="3"/>
    <x v="31"/>
    <n v="14"/>
    <s v="BBVA Bfree"/>
    <x v="6"/>
  </r>
  <r>
    <x v="1"/>
    <d v="2026-07-19T00:00:00"/>
    <x v="3"/>
    <x v="17"/>
    <n v="30"/>
    <s v="BBVA Bfree"/>
    <x v="6"/>
  </r>
  <r>
    <x v="1"/>
    <d v="2026-07-20T00:00:00"/>
    <x v="3"/>
    <x v="13"/>
    <n v="9.5"/>
    <s v="Interbank"/>
    <x v="6"/>
  </r>
  <r>
    <x v="1"/>
    <d v="2026-07-20T00:00:00"/>
    <x v="3"/>
    <x v="31"/>
    <n v="3.5"/>
    <s v="Interbank"/>
    <x v="6"/>
  </r>
  <r>
    <x v="1"/>
    <d v="2026-07-20T00:00:00"/>
    <x v="2"/>
    <x v="8"/>
    <n v="39.9"/>
    <s v="Interbank Amex"/>
    <x v="6"/>
  </r>
  <r>
    <x v="1"/>
    <d v="2026-07-20T00:00:00"/>
    <x v="6"/>
    <x v="90"/>
    <n v="37"/>
    <s v="BBVA Bfree"/>
    <x v="6"/>
  </r>
  <r>
    <x v="1"/>
    <d v="2026-07-20T00:00:00"/>
    <x v="3"/>
    <x v="17"/>
    <n v="9.9700000000000006"/>
    <s v="Interbank"/>
    <x v="6"/>
  </r>
  <r>
    <x v="1"/>
    <d v="2026-07-23T00:00:00"/>
    <x v="2"/>
    <x v="7"/>
    <n v="14.69"/>
    <s v="Interbank"/>
    <x v="6"/>
  </r>
  <r>
    <x v="1"/>
    <d v="2026-07-23T00:00:00"/>
    <x v="3"/>
    <x v="13"/>
    <n v="18.899999999999999"/>
    <s v="Interbank"/>
    <x v="6"/>
  </r>
  <r>
    <x v="1"/>
    <d v="2026-07-23T00:00:00"/>
    <x v="3"/>
    <x v="42"/>
    <n v="1.8"/>
    <s v="Interbank"/>
    <x v="6"/>
  </r>
  <r>
    <x v="1"/>
    <d v="2026-07-23T00:00:00"/>
    <x v="6"/>
    <x v="90"/>
    <n v="6"/>
    <s v="Interbank"/>
    <x v="6"/>
  </r>
  <r>
    <x v="1"/>
    <d v="2026-07-23T00:00:00"/>
    <x v="3"/>
    <x v="32"/>
    <n v="108"/>
    <s v="Interbank Amex"/>
    <x v="6"/>
  </r>
  <r>
    <x v="1"/>
    <d v="2026-07-23T00:00:00"/>
    <x v="6"/>
    <x v="90"/>
    <n v="9"/>
    <s v="Interbank Amex"/>
    <x v="6"/>
  </r>
  <r>
    <x v="1"/>
    <d v="2026-07-24T00:00:00"/>
    <x v="3"/>
    <x v="16"/>
    <n v="3.5"/>
    <s v="Interbank"/>
    <x v="6"/>
  </r>
  <r>
    <x v="1"/>
    <d v="2026-07-24T00:00:00"/>
    <x v="3"/>
    <x v="33"/>
    <n v="10"/>
    <s v="Interbank"/>
    <x v="6"/>
  </r>
  <r>
    <x v="1"/>
    <d v="2026-07-25T00:00:00"/>
    <x v="3"/>
    <x v="13"/>
    <n v="11.9"/>
    <s v="Interbank"/>
    <x v="6"/>
  </r>
  <r>
    <x v="1"/>
    <d v="2026-07-25T00:00:00"/>
    <x v="3"/>
    <x v="13"/>
    <n v="12.1"/>
    <s v="Interbank"/>
    <x v="6"/>
  </r>
  <r>
    <x v="1"/>
    <d v="2026-07-25T00:00:00"/>
    <x v="3"/>
    <x v="24"/>
    <n v="34.5"/>
    <s v="Interbank Amex"/>
    <x v="6"/>
  </r>
  <r>
    <x v="1"/>
    <d v="2026-07-26T00:00:00"/>
    <x v="3"/>
    <x v="31"/>
    <n v="31.9"/>
    <s v="Interbank Amex"/>
    <x v="6"/>
  </r>
  <r>
    <x v="1"/>
    <d v="2026-07-26T00:00:00"/>
    <x v="3"/>
    <x v="17"/>
    <n v="11"/>
    <s v="Interbank"/>
    <x v="6"/>
  </r>
  <r>
    <x v="1"/>
    <d v="2026-07-27T00:00:00"/>
    <x v="3"/>
    <x v="13"/>
    <n v="2"/>
    <s v="Interbank"/>
    <x v="6"/>
  </r>
  <r>
    <x v="1"/>
    <d v="2026-07-27T00:00:00"/>
    <x v="3"/>
    <x v="18"/>
    <n v="6"/>
    <s v="Interbank"/>
    <x v="6"/>
  </r>
  <r>
    <x v="0"/>
    <d v="2026-08-01T00:00:00"/>
    <x v="0"/>
    <x v="0"/>
    <n v="795.41000000000099"/>
    <s v="Interbank"/>
    <x v="7"/>
  </r>
  <r>
    <x v="0"/>
    <d v="2026-08-01T00:00:00"/>
    <x v="1"/>
    <x v="1"/>
    <n v="2259.63"/>
    <s v="Interbank"/>
    <x v="7"/>
  </r>
  <r>
    <x v="0"/>
    <d v="2026-08-01T00:00:00"/>
    <x v="4"/>
    <x v="12"/>
    <n v="819.05"/>
    <s v="Interbank Amex"/>
    <x v="7"/>
  </r>
  <r>
    <x v="0"/>
    <d v="2026-08-01T00:00:00"/>
    <x v="4"/>
    <x v="12"/>
    <n v="308.67"/>
    <s v="BBVA Bfree"/>
    <x v="7"/>
  </r>
  <r>
    <x v="0"/>
    <d v="2026-08-01T00:00:00"/>
    <x v="4"/>
    <x v="12"/>
    <n v="835.14"/>
    <s v="Ripley"/>
    <x v="7"/>
  </r>
  <r>
    <x v="1"/>
    <d v="2026-08-01T00:00:00"/>
    <x v="2"/>
    <x v="10"/>
    <n v="20"/>
    <s v="Interbank"/>
    <x v="7"/>
  </r>
  <r>
    <x v="1"/>
    <d v="2026-08-01T00:00:00"/>
    <x v="5"/>
    <x v="71"/>
    <n v="245.75"/>
    <s v="Interbank"/>
    <x v="7"/>
  </r>
  <r>
    <x v="1"/>
    <d v="2026-08-01T00:00:00"/>
    <x v="2"/>
    <x v="102"/>
    <n v="827.76"/>
    <s v="Interbank"/>
    <x v="7"/>
  </r>
  <r>
    <x v="1"/>
    <d v="2026-08-01T00:00:00"/>
    <x v="5"/>
    <x v="96"/>
    <n v="116.85"/>
    <s v="Interbank"/>
    <x v="7"/>
  </r>
  <r>
    <x v="1"/>
    <d v="2026-08-01T00:00:00"/>
    <x v="2"/>
    <x v="5"/>
    <n v="160"/>
    <s v="Interbank"/>
    <x v="7"/>
  </r>
  <r>
    <x v="1"/>
    <d v="2026-08-01T00:00:00"/>
    <x v="2"/>
    <x v="70"/>
    <n v="731.69"/>
    <s v="Interbank"/>
    <x v="7"/>
  </r>
  <r>
    <x v="1"/>
    <d v="2026-08-01T00:00:00"/>
    <x v="2"/>
    <x v="11"/>
    <n v="60.27"/>
    <s v="Interbank"/>
    <x v="7"/>
  </r>
  <r>
    <x v="1"/>
    <d v="2026-08-01T00:00:00"/>
    <x v="6"/>
    <x v="90"/>
    <n v="21"/>
    <s v="Interbank Amex"/>
    <x v="7"/>
  </r>
  <r>
    <x v="1"/>
    <d v="2026-08-01T00:00:00"/>
    <x v="6"/>
    <x v="90"/>
    <n v="14"/>
    <s v="Interbank Amex"/>
    <x v="7"/>
  </r>
  <r>
    <x v="1"/>
    <d v="2026-08-01T00:00:00"/>
    <x v="6"/>
    <x v="90"/>
    <n v="20"/>
    <s v="Interbank Amex"/>
    <x v="7"/>
  </r>
  <r>
    <x v="1"/>
    <d v="2026-08-01T00:00:00"/>
    <x v="6"/>
    <x v="90"/>
    <n v="53"/>
    <s v="Interbank Amex"/>
    <x v="7"/>
  </r>
  <r>
    <x v="1"/>
    <d v="2026-08-01T00:00:00"/>
    <x v="6"/>
    <x v="90"/>
    <n v="20"/>
    <s v="Interbank"/>
    <x v="7"/>
  </r>
  <r>
    <x v="1"/>
    <d v="2026-08-01T00:00:00"/>
    <x v="3"/>
    <x v="13"/>
    <n v="14"/>
    <s v="Interbank"/>
    <x v="7"/>
  </r>
  <r>
    <x v="1"/>
    <d v="2026-08-01T00:00:00"/>
    <x v="3"/>
    <x v="38"/>
    <n v="3.2"/>
    <s v="Interbank"/>
    <x v="7"/>
  </r>
  <r>
    <x v="1"/>
    <d v="2026-08-01T00:00:00"/>
    <x v="2"/>
    <x v="2"/>
    <n v="78.48"/>
    <s v="BBVA Bfree"/>
    <x v="7"/>
  </r>
  <r>
    <x v="1"/>
    <d v="2026-08-01T00:00:00"/>
    <x v="3"/>
    <x v="13"/>
    <n v="8"/>
    <s v="Interbank"/>
    <x v="7"/>
  </r>
  <r>
    <x v="1"/>
    <d v="2026-08-01T00:00:00"/>
    <x v="3"/>
    <x v="103"/>
    <n v="40"/>
    <s v="Interbank"/>
    <x v="7"/>
  </r>
  <r>
    <x v="1"/>
    <d v="2026-08-01T00:00:00"/>
    <x v="6"/>
    <x v="90"/>
    <n v="41"/>
    <s v="Interbank Amex"/>
    <x v="7"/>
  </r>
  <r>
    <x v="1"/>
    <d v="2026-08-01T00:00:00"/>
    <x v="3"/>
    <x v="63"/>
    <n v="20"/>
    <s v="Interbank Amex"/>
    <x v="7"/>
  </r>
  <r>
    <x v="1"/>
    <d v="2026-08-01T00:00:00"/>
    <x v="2"/>
    <x v="4"/>
    <n v="43.5"/>
    <s v="BBVA Bfree"/>
    <x v="7"/>
  </r>
  <r>
    <x v="1"/>
    <d v="2026-08-01T00:00:00"/>
    <x v="6"/>
    <x v="90"/>
    <n v="5.9"/>
    <s v="Interbank Amex"/>
    <x v="7"/>
  </r>
  <r>
    <x v="1"/>
    <d v="2026-08-01T00:00:00"/>
    <x v="3"/>
    <x v="16"/>
    <n v="18.2"/>
    <s v="Interbank Amex"/>
    <x v="7"/>
  </r>
  <r>
    <x v="1"/>
    <d v="2026-08-01T00:00:00"/>
    <x v="3"/>
    <x v="104"/>
    <n v="9.9"/>
    <s v="Interbank Amex"/>
    <x v="7"/>
  </r>
  <r>
    <x v="1"/>
    <d v="2026-08-01T00:00:00"/>
    <x v="3"/>
    <x v="105"/>
    <n v="10"/>
    <s v="Interbank"/>
    <x v="7"/>
  </r>
  <r>
    <x v="1"/>
    <d v="2026-08-01T00:00:00"/>
    <x v="3"/>
    <x v="13"/>
    <n v="12"/>
    <s v="Interbank"/>
    <x v="7"/>
  </r>
  <r>
    <x v="1"/>
    <d v="2026-08-01T00:00:00"/>
    <x v="2"/>
    <x v="26"/>
    <n v="2.4500000000000002"/>
    <s v="Interbank Amex"/>
    <x v="7"/>
  </r>
  <r>
    <x v="1"/>
    <d v="2026-08-01T00:00:00"/>
    <x v="3"/>
    <x v="33"/>
    <n v="9"/>
    <s v="Interbank"/>
    <x v="7"/>
  </r>
  <r>
    <x v="1"/>
    <d v="2026-08-01T00:00:00"/>
    <x v="2"/>
    <x v="26"/>
    <n v="35.799999999999997"/>
    <s v="Ripley"/>
    <x v="7"/>
  </r>
  <r>
    <x v="1"/>
    <d v="2026-08-01T00:00:00"/>
    <x v="2"/>
    <x v="21"/>
    <n v="11.9"/>
    <s v="Interbank Amex"/>
    <x v="7"/>
  </r>
  <r>
    <x v="1"/>
    <d v="2026-08-01T00:00:00"/>
    <x v="3"/>
    <x v="33"/>
    <n v="23"/>
    <s v="Interbank"/>
    <x v="7"/>
  </r>
  <r>
    <x v="1"/>
    <d v="2026-08-01T00:00:00"/>
    <x v="3"/>
    <x v="91"/>
    <n v="27"/>
    <s v="Interbank"/>
    <x v="7"/>
  </r>
  <r>
    <x v="1"/>
    <d v="2026-08-02T00:00:00"/>
    <x v="3"/>
    <x v="13"/>
    <n v="14.5"/>
    <s v="Interbank"/>
    <x v="7"/>
  </r>
  <r>
    <x v="1"/>
    <d v="2026-08-02T00:00:00"/>
    <x v="3"/>
    <x v="38"/>
    <n v="35.5"/>
    <s v="Interbank Amex"/>
    <x v="7"/>
  </r>
  <r>
    <x v="1"/>
    <d v="2026-08-02T00:00:00"/>
    <x v="6"/>
    <x v="90"/>
    <n v="36.700000000000003"/>
    <s v="Interbank Amex"/>
    <x v="7"/>
  </r>
  <r>
    <x v="1"/>
    <d v="2026-08-02T00:00:00"/>
    <x v="6"/>
    <x v="90"/>
    <n v="25"/>
    <s v="Interbank"/>
    <x v="7"/>
  </r>
  <r>
    <x v="1"/>
    <d v="2026-08-02T00:00:00"/>
    <x v="3"/>
    <x v="16"/>
    <n v="7.5"/>
    <s v="Interbank"/>
    <x v="7"/>
  </r>
  <r>
    <x v="1"/>
    <d v="2026-08-02T00:00:00"/>
    <x v="3"/>
    <x v="13"/>
    <n v="7"/>
    <s v="Interbank"/>
    <x v="7"/>
  </r>
  <r>
    <x v="1"/>
    <d v="2026-08-03T00:00:00"/>
    <x v="3"/>
    <x v="56"/>
    <n v="6"/>
    <s v="Interbank"/>
    <x v="7"/>
  </r>
  <r>
    <x v="1"/>
    <d v="2026-08-03T00:00:00"/>
    <x v="6"/>
    <x v="90"/>
    <n v="43"/>
    <s v="Interbank Amex"/>
    <x v="7"/>
  </r>
  <r>
    <x v="1"/>
    <d v="2026-08-03T00:00:00"/>
    <x v="3"/>
    <x v="13"/>
    <n v="25.5"/>
    <s v="Interbank"/>
    <x v="7"/>
  </r>
  <r>
    <x v="1"/>
    <d v="2026-08-04T00:00:00"/>
    <x v="3"/>
    <x v="13"/>
    <n v="4"/>
    <s v="Interbank"/>
    <x v="7"/>
  </r>
  <r>
    <x v="1"/>
    <d v="2026-08-04T00:00:00"/>
    <x v="3"/>
    <x v="17"/>
    <n v="18"/>
    <s v="Interbank"/>
    <x v="7"/>
  </r>
  <r>
    <x v="1"/>
    <d v="2026-08-05T00:00:00"/>
    <x v="3"/>
    <x v="13"/>
    <n v="19.5"/>
    <s v="Interbank"/>
    <x v="7"/>
  </r>
  <r>
    <x v="1"/>
    <d v="2026-08-05T00:00:00"/>
    <x v="6"/>
    <x v="90"/>
    <n v="15"/>
    <s v="Interbank"/>
    <x v="7"/>
  </r>
  <r>
    <x v="1"/>
    <d v="2026-08-05T00:00:00"/>
    <x v="6"/>
    <x v="90"/>
    <n v="57.3"/>
    <s v="Ripley"/>
    <x v="7"/>
  </r>
  <r>
    <x v="1"/>
    <d v="2026-08-06T00:00:00"/>
    <x v="3"/>
    <x v="13"/>
    <n v="12"/>
    <s v="Interbank"/>
    <x v="7"/>
  </r>
  <r>
    <x v="1"/>
    <d v="2026-08-06T00:00:00"/>
    <x v="3"/>
    <x v="56"/>
    <n v="6"/>
    <s v="Interbank"/>
    <x v="7"/>
  </r>
  <r>
    <x v="1"/>
    <d v="2026-08-07T00:00:00"/>
    <x v="2"/>
    <x v="26"/>
    <n v="16.899999999999999"/>
    <s v="Ripley"/>
    <x v="7"/>
  </r>
  <r>
    <x v="1"/>
    <d v="2026-08-07T00:00:00"/>
    <x v="3"/>
    <x v="33"/>
    <n v="11"/>
    <s v="Interbank"/>
    <x v="7"/>
  </r>
  <r>
    <x v="1"/>
    <d v="2026-08-08T00:00:00"/>
    <x v="3"/>
    <x v="17"/>
    <n v="10"/>
    <s v="Interbank"/>
    <x v="7"/>
  </r>
  <r>
    <x v="1"/>
    <d v="2026-08-08T00:00:00"/>
    <x v="3"/>
    <x v="33"/>
    <n v="16.5"/>
    <s v="Interbank"/>
    <x v="7"/>
  </r>
  <r>
    <x v="1"/>
    <d v="2026-08-09T00:00:00"/>
    <x v="6"/>
    <x v="90"/>
    <n v="40"/>
    <s v="Interbank"/>
    <x v="7"/>
  </r>
  <r>
    <x v="1"/>
    <d v="2026-08-09T00:00:00"/>
    <x v="3"/>
    <x v="13"/>
    <n v="23"/>
    <s v="Interbank"/>
    <x v="7"/>
  </r>
  <r>
    <x v="1"/>
    <d v="2026-08-09T00:00:00"/>
    <x v="6"/>
    <x v="90"/>
    <n v="19"/>
    <s v="Interbank Amex"/>
    <x v="7"/>
  </r>
  <r>
    <x v="1"/>
    <d v="2026-08-09T00:00:00"/>
    <x v="3"/>
    <x v="15"/>
    <n v="64.7"/>
    <s v="Ripley"/>
    <x v="7"/>
  </r>
  <r>
    <x v="1"/>
    <d v="2026-08-09T00:00:00"/>
    <x v="3"/>
    <x v="20"/>
    <n v="173.2"/>
    <s v="Ripley"/>
    <x v="7"/>
  </r>
  <r>
    <x v="0"/>
    <d v="2026-08-09T00:00:00"/>
    <x v="0"/>
    <x v="25"/>
    <n v="70"/>
    <s v="Interbank"/>
    <x v="7"/>
  </r>
  <r>
    <x v="1"/>
    <d v="2026-08-09T00:00:00"/>
    <x v="2"/>
    <x v="26"/>
    <n v="21.31"/>
    <s v="BBVA Bfree"/>
    <x v="7"/>
  </r>
  <r>
    <x v="1"/>
    <d v="2026-08-10T00:00:00"/>
    <x v="3"/>
    <x v="13"/>
    <n v="21"/>
    <s v="Interbank"/>
    <x v="7"/>
  </r>
  <r>
    <x v="1"/>
    <d v="2026-08-10T00:00:00"/>
    <x v="6"/>
    <x v="90"/>
    <n v="28.5"/>
    <s v="Interbank"/>
    <x v="7"/>
  </r>
  <r>
    <x v="1"/>
    <d v="2026-08-11T00:00:00"/>
    <x v="2"/>
    <x v="3"/>
    <n v="98"/>
    <s v="BBVA Bfree"/>
    <x v="7"/>
  </r>
  <r>
    <x v="1"/>
    <d v="2026-08-11T00:00:00"/>
    <x v="2"/>
    <x v="8"/>
    <n v="39.9"/>
    <s v="BBVA Bfree"/>
    <x v="7"/>
  </r>
  <r>
    <x v="0"/>
    <d v="2026-08-11T00:00:00"/>
    <x v="0"/>
    <x v="91"/>
    <n v="50"/>
    <s v="Interbank"/>
    <x v="7"/>
  </r>
  <r>
    <x v="1"/>
    <d v="2026-08-11T00:00:00"/>
    <x v="3"/>
    <x v="17"/>
    <n v="12"/>
    <s v="Interbank"/>
    <x v="7"/>
  </r>
  <r>
    <x v="1"/>
    <d v="2026-08-12T00:00:00"/>
    <x v="6"/>
    <x v="90"/>
    <n v="13"/>
    <s v="Interbank"/>
    <x v="7"/>
  </r>
  <r>
    <x v="1"/>
    <d v="2026-08-12T00:00:00"/>
    <x v="3"/>
    <x v="16"/>
    <n v="9.9"/>
    <s v="Interbank Amex"/>
    <x v="7"/>
  </r>
  <r>
    <x v="1"/>
    <d v="2026-08-12T00:00:00"/>
    <x v="6"/>
    <x v="90"/>
    <n v="10.9"/>
    <s v="Interbank Amex"/>
    <x v="7"/>
  </r>
  <r>
    <x v="1"/>
    <d v="2026-08-12T00:00:00"/>
    <x v="6"/>
    <x v="90"/>
    <n v="75.900000000000006"/>
    <s v="Interbank Amex"/>
    <x v="7"/>
  </r>
  <r>
    <x v="1"/>
    <d v="2026-08-12T00:00:00"/>
    <x v="3"/>
    <x v="13"/>
    <n v="5"/>
    <s v="Interbank"/>
    <x v="7"/>
  </r>
  <r>
    <x v="1"/>
    <d v="2026-08-12T00:00:00"/>
    <x v="3"/>
    <x v="13"/>
    <n v="8.5"/>
    <s v="Interbank"/>
    <x v="7"/>
  </r>
  <r>
    <x v="1"/>
    <d v="2026-08-12T00:00:00"/>
    <x v="3"/>
    <x v="17"/>
    <n v="10"/>
    <s v="Interbank"/>
    <x v="7"/>
  </r>
  <r>
    <x v="1"/>
    <d v="2026-08-12T00:00:00"/>
    <x v="3"/>
    <x v="13"/>
    <n v="7"/>
    <s v="Interbank"/>
    <x v="7"/>
  </r>
  <r>
    <x v="1"/>
    <d v="2026-08-13T00:00:00"/>
    <x v="3"/>
    <x v="13"/>
    <n v="5"/>
    <s v="Interbank"/>
    <x v="7"/>
  </r>
  <r>
    <x v="1"/>
    <d v="2026-08-13T00:00:00"/>
    <x v="6"/>
    <x v="90"/>
    <n v="2.4900000000000002"/>
    <s v="Interbank Amex"/>
    <x v="7"/>
  </r>
  <r>
    <x v="1"/>
    <d v="2026-08-13T00:00:00"/>
    <x v="3"/>
    <x v="13"/>
    <n v="19"/>
    <s v="Interbank"/>
    <x v="7"/>
  </r>
  <r>
    <x v="1"/>
    <d v="2026-08-13T00:00:00"/>
    <x v="3"/>
    <x v="13"/>
    <n v="8"/>
    <s v="Interbank"/>
    <x v="7"/>
  </r>
  <r>
    <x v="1"/>
    <d v="2026-08-13T00:00:00"/>
    <x v="3"/>
    <x v="16"/>
    <n v="14"/>
    <s v="BBVA Bfree"/>
    <x v="7"/>
  </r>
  <r>
    <x v="1"/>
    <d v="2026-08-13T00:00:00"/>
    <x v="6"/>
    <x v="90"/>
    <n v="118"/>
    <s v="Interbank Amex"/>
    <x v="7"/>
  </r>
  <r>
    <x v="1"/>
    <d v="2026-08-14T00:00:00"/>
    <x v="3"/>
    <x v="13"/>
    <n v="9.5"/>
    <s v="Interbank"/>
    <x v="7"/>
  </r>
  <r>
    <x v="1"/>
    <d v="2026-08-14T00:00:00"/>
    <x v="3"/>
    <x v="33"/>
    <n v="11"/>
    <s v="Interbank"/>
    <x v="7"/>
  </r>
  <r>
    <x v="1"/>
    <d v="2026-08-15T00:00:00"/>
    <x v="5"/>
    <x v="95"/>
    <n v="143.16"/>
    <s v="Interbank"/>
    <x v="7"/>
  </r>
  <r>
    <x v="1"/>
    <d v="2026-08-15T00:00:00"/>
    <x v="3"/>
    <x v="16"/>
    <n v="12.9"/>
    <s v="Ripley"/>
    <x v="7"/>
  </r>
  <r>
    <x v="1"/>
    <d v="2026-08-15T00:00:00"/>
    <x v="3"/>
    <x v="17"/>
    <n v="25"/>
    <s v="Ripley"/>
    <x v="7"/>
  </r>
  <r>
    <x v="1"/>
    <d v="2026-08-15T00:00:00"/>
    <x v="3"/>
    <x v="13"/>
    <n v="15.5"/>
    <s v="Interbank"/>
    <x v="7"/>
  </r>
  <r>
    <x v="1"/>
    <d v="2026-08-15T00:00:00"/>
    <x v="3"/>
    <x v="27"/>
    <n v="20"/>
    <s v="Interbank"/>
    <x v="7"/>
  </r>
  <r>
    <x v="1"/>
    <d v="2026-08-16T00:00:00"/>
    <x v="3"/>
    <x v="17"/>
    <n v="10"/>
    <s v="Interbank"/>
    <x v="7"/>
  </r>
  <r>
    <x v="1"/>
    <d v="2026-08-17T00:00:00"/>
    <x v="3"/>
    <x v="38"/>
    <n v="7.3"/>
    <s v="Interbank"/>
    <x v="7"/>
  </r>
  <r>
    <x v="1"/>
    <d v="2026-08-17T00:00:00"/>
    <x v="3"/>
    <x v="16"/>
    <n v="1.5"/>
    <s v="Interbank"/>
    <x v="7"/>
  </r>
  <r>
    <x v="1"/>
    <d v="2026-08-18T00:00:00"/>
    <x v="3"/>
    <x v="17"/>
    <n v="10"/>
    <s v="Interbank"/>
    <x v="7"/>
  </r>
  <r>
    <x v="1"/>
    <d v="2026-08-19T00:00:00"/>
    <x v="3"/>
    <x v="17"/>
    <n v="10"/>
    <s v="Interbank"/>
    <x v="7"/>
  </r>
  <r>
    <x v="1"/>
    <d v="2026-08-20T00:00:00"/>
    <x v="3"/>
    <x v="16"/>
    <n v="12.9"/>
    <s v="Ripley"/>
    <x v="7"/>
  </r>
  <r>
    <x v="1"/>
    <d v="2026-08-21T00:00:00"/>
    <x v="3"/>
    <x v="17"/>
    <n v="10"/>
    <s v="Interbank"/>
    <x v="7"/>
  </r>
  <r>
    <x v="1"/>
    <d v="2026-08-21T00:00:00"/>
    <x v="3"/>
    <x v="33"/>
    <n v="9"/>
    <s v="Interbank"/>
    <x v="7"/>
  </r>
  <r>
    <x v="1"/>
    <d v="2026-08-22T00:00:00"/>
    <x v="3"/>
    <x v="33"/>
    <n v="13"/>
    <s v="Interbank"/>
    <x v="7"/>
  </r>
  <r>
    <x v="1"/>
    <d v="2026-08-22T00:00:00"/>
    <x v="3"/>
    <x v="17"/>
    <n v="10"/>
    <s v="Interbank"/>
    <x v="7"/>
  </r>
  <r>
    <x v="1"/>
    <d v="2026-08-23T00:00:00"/>
    <x v="2"/>
    <x v="7"/>
    <n v="14.66"/>
    <s v="Interbank"/>
    <x v="7"/>
  </r>
  <r>
    <x v="1"/>
    <d v="2026-08-23T00:00:00"/>
    <x v="3"/>
    <x v="24"/>
    <n v="25.9"/>
    <s v="Interbank"/>
    <x v="7"/>
  </r>
  <r>
    <x v="1"/>
    <d v="2026-08-23T00:00:00"/>
    <x v="3"/>
    <x v="13"/>
    <n v="15"/>
    <s v="Interbank"/>
    <x v="7"/>
  </r>
  <r>
    <x v="1"/>
    <d v="2026-08-24T00:00:00"/>
    <x v="3"/>
    <x v="30"/>
    <n v="10"/>
    <s v="Interbank"/>
    <x v="7"/>
  </r>
  <r>
    <x v="1"/>
    <d v="2026-08-24T00:00:00"/>
    <x v="3"/>
    <x v="38"/>
    <n v="23.9"/>
    <s v="Interbank Amex"/>
    <x v="7"/>
  </r>
  <r>
    <x v="1"/>
    <d v="2026-08-27T00:00:00"/>
    <x v="3"/>
    <x v="38"/>
    <n v="1.5"/>
    <s v="Interbank"/>
    <x v="7"/>
  </r>
  <r>
    <x v="1"/>
    <d v="2026-08-27T00:00:00"/>
    <x v="3"/>
    <x v="17"/>
    <n v="9"/>
    <s v="Interbank"/>
    <x v="7"/>
  </r>
  <r>
    <x v="0"/>
    <d v="2026-08-27T00:00:00"/>
    <x v="0"/>
    <x v="106"/>
    <n v="100"/>
    <s v="Interbank"/>
    <x v="7"/>
  </r>
  <r>
    <x v="0"/>
    <d v="2026-09-01T00:00:00"/>
    <x v="0"/>
    <x v="0"/>
    <n v="193.00000000000091"/>
    <s v="Interbank"/>
    <x v="8"/>
  </r>
  <r>
    <x v="0"/>
    <d v="2026-09-01T00:00:00"/>
    <x v="1"/>
    <x v="1"/>
    <n v="2259.63"/>
    <s v="Interbank"/>
    <x v="8"/>
  </r>
  <r>
    <x v="0"/>
    <d v="2026-09-01T00:00:00"/>
    <x v="4"/>
    <x v="12"/>
    <n v="976.1"/>
    <s v="Interbank Amex"/>
    <x v="8"/>
  </r>
  <r>
    <x v="0"/>
    <d v="2026-09-01T00:00:00"/>
    <x v="4"/>
    <x v="12"/>
    <n v="488.43"/>
    <s v="BBVA Bfree"/>
    <x v="8"/>
  </r>
  <r>
    <x v="0"/>
    <d v="2026-09-01T00:00:00"/>
    <x v="4"/>
    <x v="12"/>
    <n v="637.11"/>
    <s v="Ripley"/>
    <x v="8"/>
  </r>
  <r>
    <x v="1"/>
    <d v="2026-09-01T00:00:00"/>
    <x v="2"/>
    <x v="102"/>
    <n v="200.67"/>
    <s v="Interbank"/>
    <x v="8"/>
  </r>
  <r>
    <x v="1"/>
    <d v="2026-09-01T00:00:00"/>
    <x v="5"/>
    <x v="96"/>
    <n v="116.85"/>
    <s v="Interbank"/>
    <x v="8"/>
  </r>
  <r>
    <x v="1"/>
    <d v="2026-09-01T00:00:00"/>
    <x v="2"/>
    <x v="10"/>
    <n v="20"/>
    <s v="Interbank"/>
    <x v="8"/>
  </r>
  <r>
    <x v="1"/>
    <d v="2026-09-01T00:00:00"/>
    <x v="5"/>
    <x v="71"/>
    <n v="245.75"/>
    <s v="Interbank"/>
    <x v="8"/>
  </r>
  <r>
    <x v="1"/>
    <d v="2026-09-05T00:00:00"/>
    <x v="2"/>
    <x v="70"/>
    <n v="751.89"/>
    <s v="Interbank"/>
    <x v="8"/>
  </r>
  <r>
    <x v="1"/>
    <d v="2026-09-05T00:00:00"/>
    <x v="2"/>
    <x v="11"/>
    <n v="455.09"/>
    <s v="Interbank"/>
    <x v="8"/>
  </r>
  <r>
    <x v="1"/>
    <d v="2026-09-05T00:00:00"/>
    <x v="2"/>
    <x v="5"/>
    <n v="160"/>
    <s v="Interbank"/>
    <x v="8"/>
  </r>
  <r>
    <x v="1"/>
    <d v="2026-09-15T00:00:00"/>
    <x v="5"/>
    <x v="95"/>
    <n v="143.16"/>
    <s v="Interbank"/>
    <x v="8"/>
  </r>
  <r>
    <x v="1"/>
    <d v="2026-09-15T00:00:00"/>
    <x v="6"/>
    <x v="88"/>
    <n v="80"/>
    <s v="Interbank"/>
    <x v="8"/>
  </r>
  <r>
    <x v="1"/>
    <d v="2026-09-23T00:00:00"/>
    <x v="2"/>
    <x v="7"/>
    <n v="15"/>
    <s v="Interbank"/>
    <x v="8"/>
  </r>
  <r>
    <x v="1"/>
    <d v="2026-09-01T00:00:00"/>
    <x v="3"/>
    <x v="33"/>
    <n v="25"/>
    <s v="Interbank"/>
    <x v="8"/>
  </r>
  <r>
    <x v="1"/>
    <d v="2026-09-01T00:00:00"/>
    <x v="2"/>
    <x v="9"/>
    <n v="18.989999999999998"/>
    <s v="Interbank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62B023-63C3-48E3-AE94-19CDA107048C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K30" firstHeaderRow="1" firstDataRow="2" firstDataCol="1" rowPageCount="1" colPageCount="1"/>
  <pivotFields count="7">
    <pivotField axis="axisPage" showAll="0">
      <items count="3">
        <item x="1"/>
        <item x="0"/>
        <item t="default"/>
      </items>
    </pivotField>
    <pivotField showAll="0"/>
    <pivotField axis="axisRow" showAll="0">
      <items count="9">
        <item sd="0" x="5"/>
        <item sd="0" x="3"/>
        <item sd="0" x="6"/>
        <item sd="0" x="0"/>
        <item x="2"/>
        <item x="1"/>
        <item x="4"/>
        <item m="1" x="7"/>
        <item t="default"/>
      </items>
    </pivotField>
    <pivotField axis="axisRow" showAll="0">
      <items count="198">
        <item x="47"/>
        <item m="1" x="109"/>
        <item x="5"/>
        <item m="1" x="117"/>
        <item m="1" x="165"/>
        <item m="1" x="167"/>
        <item m="1" x="195"/>
        <item x="0"/>
        <item x="17"/>
        <item x="63"/>
        <item m="1" x="173"/>
        <item m="1" x="174"/>
        <item m="1" x="107"/>
        <item m="1" x="164"/>
        <item m="1" x="166"/>
        <item m="1" x="156"/>
        <item x="56"/>
        <item x="43"/>
        <item x="15"/>
        <item x="55"/>
        <item x="6"/>
        <item x="19"/>
        <item x="58"/>
        <item x="53"/>
        <item x="57"/>
        <item m="1" x="153"/>
        <item x="10"/>
        <item x="23"/>
        <item x="61"/>
        <item x="68"/>
        <item m="1" x="148"/>
        <item m="1" x="119"/>
        <item x="26"/>
        <item m="1" x="129"/>
        <item x="41"/>
        <item m="1" x="131"/>
        <item x="40"/>
        <item m="1" x="120"/>
        <item m="1" x="188"/>
        <item m="1" x="121"/>
        <item m="1" x="149"/>
        <item x="33"/>
        <item m="1" x="189"/>
        <item x="4"/>
        <item m="1" x="118"/>
        <item m="1" x="187"/>
        <item x="48"/>
        <item m="1" x="142"/>
        <item m="1" x="158"/>
        <item x="7"/>
        <item m="1" x="124"/>
        <item x="2"/>
        <item m="1" x="191"/>
        <item m="1" x="186"/>
        <item x="67"/>
        <item x="12"/>
        <item x="3"/>
        <item x="25"/>
        <item x="32"/>
        <item x="60"/>
        <item m="1" x="163"/>
        <item m="1" x="159"/>
        <item x="35"/>
        <item x="54"/>
        <item m="1" x="141"/>
        <item m="1" x="168"/>
        <item m="1" x="152"/>
        <item x="39"/>
        <item m="1" x="190"/>
        <item x="24"/>
        <item m="1" x="175"/>
        <item m="1" x="137"/>
        <item x="44"/>
        <item m="1" x="154"/>
        <item m="1" x="185"/>
        <item m="1" x="116"/>
        <item x="50"/>
        <item x="14"/>
        <item m="1" x="162"/>
        <item x="30"/>
        <item x="21"/>
        <item x="64"/>
        <item x="1"/>
        <item x="34"/>
        <item m="1" x="151"/>
        <item x="8"/>
        <item x="46"/>
        <item m="1" x="157"/>
        <item x="52"/>
        <item x="36"/>
        <item m="1" x="155"/>
        <item m="1" x="178"/>
        <item x="51"/>
        <item x="69"/>
        <item m="1" x="184"/>
        <item x="59"/>
        <item x="72"/>
        <item x="73"/>
        <item m="1" x="192"/>
        <item x="74"/>
        <item x="75"/>
        <item x="76"/>
        <item m="1" x="169"/>
        <item m="1" x="196"/>
        <item x="38"/>
        <item x="78"/>
        <item x="79"/>
        <item x="80"/>
        <item m="1" x="122"/>
        <item x="81"/>
        <item x="82"/>
        <item x="77"/>
        <item x="83"/>
        <item x="84"/>
        <item x="85"/>
        <item x="87"/>
        <item x="88"/>
        <item m="1" x="183"/>
        <item m="1" x="193"/>
        <item m="1" x="194"/>
        <item x="22"/>
        <item m="1" x="182"/>
        <item x="18"/>
        <item x="37"/>
        <item x="86"/>
        <item m="1" x="146"/>
        <item m="1" x="176"/>
        <item m="1" x="132"/>
        <item m="1" x="133"/>
        <item x="92"/>
        <item x="93"/>
        <item m="1" x="160"/>
        <item m="1" x="179"/>
        <item x="71"/>
        <item x="89"/>
        <item m="1" x="145"/>
        <item x="94"/>
        <item m="1" x="135"/>
        <item m="1" x="136"/>
        <item m="1" x="125"/>
        <item m="1" x="147"/>
        <item x="95"/>
        <item m="1" x="134"/>
        <item m="1" x="150"/>
        <item m="1" x="180"/>
        <item m="1" x="181"/>
        <item x="96"/>
        <item x="97"/>
        <item m="1" x="170"/>
        <item x="65"/>
        <item m="1" x="177"/>
        <item m="1" x="140"/>
        <item m="1" x="143"/>
        <item m="1" x="144"/>
        <item m="1" x="171"/>
        <item x="90"/>
        <item m="1" x="161"/>
        <item m="1" x="139"/>
        <item m="1" x="123"/>
        <item x="70"/>
        <item x="101"/>
        <item x="49"/>
        <item m="1" x="172"/>
        <item x="28"/>
        <item x="66"/>
        <item x="62"/>
        <item m="1" x="110"/>
        <item m="1" x="138"/>
        <item x="20"/>
        <item x="27"/>
        <item x="13"/>
        <item x="91"/>
        <item x="9"/>
        <item x="29"/>
        <item x="11"/>
        <item x="98"/>
        <item x="99"/>
        <item x="100"/>
        <item m="1" x="130"/>
        <item m="1" x="126"/>
        <item m="1" x="114"/>
        <item m="1" x="127"/>
        <item x="102"/>
        <item x="103"/>
        <item x="104"/>
        <item x="105"/>
        <item m="1" x="128"/>
        <item m="1" x="115"/>
        <item x="31"/>
        <item m="1" x="108"/>
        <item x="16"/>
        <item m="1" x="113"/>
        <item m="1" x="111"/>
        <item m="1" x="112"/>
        <item x="106"/>
        <item x="42"/>
        <item x="45"/>
        <item t="default"/>
      </items>
    </pivotField>
    <pivotField dataField="1" numFmtId="44" showAll="0"/>
    <pivotField showAll="0"/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</pivotFields>
  <rowFields count="2">
    <field x="2"/>
    <field x="3"/>
  </rowFields>
  <rowItems count="26">
    <i>
      <x/>
    </i>
    <i>
      <x v="1"/>
    </i>
    <i>
      <x v="2"/>
    </i>
    <i>
      <x v="3"/>
    </i>
    <i>
      <x v="4"/>
    </i>
    <i r="1">
      <x v="2"/>
    </i>
    <i r="1">
      <x v="26"/>
    </i>
    <i r="1">
      <x v="32"/>
    </i>
    <i r="1">
      <x v="43"/>
    </i>
    <i r="1">
      <x v="49"/>
    </i>
    <i r="1">
      <x v="51"/>
    </i>
    <i r="1">
      <x v="56"/>
    </i>
    <i r="1">
      <x v="80"/>
    </i>
    <i r="1">
      <x v="81"/>
    </i>
    <i r="1">
      <x v="85"/>
    </i>
    <i r="1">
      <x v="159"/>
    </i>
    <i r="1">
      <x v="172"/>
    </i>
    <i r="1">
      <x v="174"/>
    </i>
    <i r="1">
      <x v="182"/>
    </i>
    <i>
      <x v="5"/>
    </i>
    <i r="1">
      <x v="82"/>
    </i>
    <i r="1">
      <x v="115"/>
    </i>
    <i r="1">
      <x v="176"/>
    </i>
    <i>
      <x v="6"/>
    </i>
    <i r="1">
      <x v="55"/>
    </i>
    <i t="grand">
      <x/>
    </i>
  </rowItems>
  <colFields count="1">
    <field x="6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0" hier="-1"/>
  </pageFields>
  <dataFields count="1">
    <dataField name="Suma de Monto" fld="4" baseField="0" baseItem="0" numFmtId="44"/>
  </dataFields>
  <pivotTableStyleInfo name="PivotStyleMedium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07C348-232C-45F4-9E76-26E83700D3D0}" name="Registro" displayName="Registro" ref="A1:G686" totalsRowShown="0" headerRowDxfId="50" dataDxfId="49">
  <autoFilter ref="A1:G686" xr:uid="{8E07C348-232C-45F4-9E76-26E83700D3D0}"/>
  <sortState xmlns:xlrd2="http://schemas.microsoft.com/office/spreadsheetml/2017/richdata2" ref="A668:G682">
    <sortCondition ref="B1:B682"/>
  </sortState>
  <tableColumns count="7">
    <tableColumn id="6" xr3:uid="{CD7D4AC6-14BB-479B-901B-57060AFBDF48}" name="Tipo" dataDxfId="48">
      <extLst>
        <ext xmlns:xlmsforms="http://schemas.microsoft.com/office/spreadsheetml/2023/msForms" uri="{FCC71383-01E1-4257-9335-427F07BE8D7F}">
          <xlmsforms:question id="r850aba2a694d489d8c13ebd8972872b5"/>
        </ext>
      </extLst>
    </tableColumn>
    <tableColumn id="10" xr3:uid="{D90AE678-A955-4492-98F8-318FFE836D7C}" name="Fecha" dataDxfId="47">
      <extLst>
        <ext xmlns:xlmsforms="http://schemas.microsoft.com/office/spreadsheetml/2023/msForms" uri="{FCC71383-01E1-4257-9335-427F07BE8D7F}">
          <xlmsforms:question id="ra9463492567a4735bd6802cd3bd99ef2"/>
        </ext>
      </extLst>
    </tableColumn>
    <tableColumn id="7" xr3:uid="{A7F014C3-9A77-48E4-8923-D88A6979D83D}" name="Categoría" dataDxfId="46">
      <extLst>
        <ext xmlns:xlmsforms="http://schemas.microsoft.com/office/spreadsheetml/2023/msForms" uri="{FCC71383-01E1-4257-9335-427F07BE8D7F}">
          <xlmsforms:question id="r2ea14d07dfd8431ea4e68374997aaae9"/>
        </ext>
      </extLst>
    </tableColumn>
    <tableColumn id="8" xr3:uid="{D5FF1A46-B57B-46EE-946E-275F27ECD13F}" name="Concepto" dataDxfId="45">
      <extLst>
        <ext xmlns:xlmsforms="http://schemas.microsoft.com/office/spreadsheetml/2023/msForms" uri="{FCC71383-01E1-4257-9335-427F07BE8D7F}">
          <xlmsforms:question id="rebdd88b6a6dc4eae9f60a836285b00a2"/>
        </ext>
      </extLst>
    </tableColumn>
    <tableColumn id="9" xr3:uid="{3FDE9B10-6BCE-422E-87B3-E353480A3876}" name="Monto" dataDxfId="44">
      <extLst>
        <ext xmlns:xlmsforms="http://schemas.microsoft.com/office/spreadsheetml/2023/msForms" uri="{FCC71383-01E1-4257-9335-427F07BE8D7F}">
          <xlmsforms:question id="r06d0129bc62f49009c234895b783c4c4"/>
        </ext>
      </extLst>
    </tableColumn>
    <tableColumn id="11" xr3:uid="{FA917734-7F4D-4DB7-8FE7-2D0A6B8AAC69}" name="Entidad" dataDxfId="43">
      <extLst>
        <ext xmlns:xlmsforms="http://schemas.microsoft.com/office/spreadsheetml/2023/msForms" uri="{FCC71383-01E1-4257-9335-427F07BE8D7F}">
          <xlmsforms:question id="r5272db4fc3ac42799398a41cf52888be"/>
        </ext>
      </extLst>
    </tableColumn>
    <tableColumn id="12" xr3:uid="{B91ED37D-5687-4BB7-B2AD-D7667563A490}" name="Mes" dataDxfId="42">
      <calculatedColumnFormula>TEXT(B2,"MMMM")</calculatedColumnFormula>
    </tableColumn>
  </tableColumns>
  <tableStyleInfo name="TableStyleMedium7" showFirstColumn="0" showLastColumn="0" showRowStripes="1" showColumnStripes="0"/>
  <extLst>
    <ext xmlns:xlmsforms="http://schemas.microsoft.com/office/spreadsheetml/2023/msForms" uri="{839C7E11-91E4-4DBD-9C5D-0DEA604FA9AC}">
      <xlmsforms:msForm id="DQSIkWdsW0yxEjajBLZtrQAAAAAAAAAAAAZAAAIgHI9UN1EyVE1XVFRNNUo1WE81ODQ4VVZLRjlEQS4u" isFormConnected="1" maxResponseId="294" latestEventMarker="299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r850aba2a694d489d8c13ebd8972872b5</xlmsforms:syncedQuestionId>
        <xlmsforms:syncedQuestionId>r2ea14d07dfd8431ea4e68374997aaae9</xlmsforms:syncedQuestionId>
        <xlmsforms:syncedQuestionId>rebdd88b6a6dc4eae9f60a836285b00a2</xlmsforms:syncedQuestionId>
        <xlmsforms:syncedQuestionId>r06d0129bc62f49009c234895b783c4c4</xlmsforms:syncedQuestionId>
        <xlmsforms:syncedQuestionId>ra9463492567a4735bd6802cd3bd99ef2</xlmsforms:syncedQuestionId>
        <xlmsforms:syncedQuestionId>r5272db4fc3ac42799398a41cf52888be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15FEBB-C4F0-41B6-AFB4-F1D3810C842E}" name="IngEgreAnual" displayName="IngEgreAnual" ref="B234:E246" totalsRowShown="0">
  <autoFilter ref="B234:E246" xr:uid="{A615FEBB-C4F0-41B6-AFB4-F1D3810C842E}"/>
  <tableColumns count="4">
    <tableColumn id="1" xr3:uid="{6D0B9CF4-7FF2-4926-A9A6-10759D95F993}" name="Mes"/>
    <tableColumn id="2" xr3:uid="{40229CA9-EBF9-41F8-BDE1-7F1C669861BA}" name="Ingreso" dataDxfId="41">
      <calculatedColumnFormula>SUMIFS(Maestro!E:E, Maestro!G:G, B235, Maestro!A:A, "Ingreso")</calculatedColumnFormula>
    </tableColumn>
    <tableColumn id="3" xr3:uid="{3F2D0066-BBBF-4038-AE2C-9B7FE0550D1E}" name="Egreso" dataDxfId="40">
      <calculatedColumnFormula>SUMIFS(Maestro!E:E, Maestro!G:G, B235, Maestro!A:A, "Egreso")</calculatedColumnFormula>
    </tableColumn>
    <tableColumn id="4" xr3:uid="{DFF278D6-887C-459E-9D4A-1011A9EB7060}" name="Ahorro" dataDxfId="39">
      <calculatedColumnFormula>SUMIFS(Maestro!E:E, Maestro!G:G, B235, Maestro!C:C, "Ahorro")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7D1CC9-6286-4BD4-B13A-96C86D5D4510}">
  <we:reference id="wa200005271" version="2.6.1.0" store="en-US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C1F47-66D9-4766-9483-BB1EFEDE0BF5}">
  <dimension ref="A1:G13"/>
  <sheetViews>
    <sheetView workbookViewId="0">
      <selection activeCell="E4" sqref="E4"/>
    </sheetView>
  </sheetViews>
  <sheetFormatPr baseColWidth="10" defaultColWidth="10.7109375" defaultRowHeight="15" x14ac:dyDescent="0.25"/>
  <sheetData>
    <row r="1" spans="1:7" x14ac:dyDescent="0.25">
      <c r="A1" s="1" t="s">
        <v>0</v>
      </c>
      <c r="C1" s="1" t="s">
        <v>1</v>
      </c>
      <c r="D1" t="s">
        <v>2</v>
      </c>
      <c r="E1" s="1" t="s">
        <v>3</v>
      </c>
      <c r="G1" s="1" t="s">
        <v>4</v>
      </c>
    </row>
    <row r="2" spans="1:7" x14ac:dyDescent="0.25">
      <c r="A2" t="s">
        <v>5</v>
      </c>
      <c r="C2" t="s">
        <v>6</v>
      </c>
      <c r="E2" t="s">
        <v>7</v>
      </c>
      <c r="G2" t="s">
        <v>8</v>
      </c>
    </row>
    <row r="3" spans="1:7" x14ac:dyDescent="0.25">
      <c r="A3" t="s">
        <v>9</v>
      </c>
      <c r="C3" t="s">
        <v>10</v>
      </c>
      <c r="E3" t="s">
        <v>11</v>
      </c>
      <c r="G3" t="s">
        <v>12</v>
      </c>
    </row>
    <row r="4" spans="1:7" x14ac:dyDescent="0.25">
      <c r="C4" t="s">
        <v>13</v>
      </c>
      <c r="E4" t="s">
        <v>14</v>
      </c>
      <c r="G4" t="s">
        <v>15</v>
      </c>
    </row>
    <row r="5" spans="1:7" x14ac:dyDescent="0.25">
      <c r="C5" t="s">
        <v>16</v>
      </c>
      <c r="G5" t="s">
        <v>17</v>
      </c>
    </row>
    <row r="6" spans="1:7" x14ac:dyDescent="0.25">
      <c r="G6" t="s">
        <v>18</v>
      </c>
    </row>
    <row r="7" spans="1:7" x14ac:dyDescent="0.25">
      <c r="G7" t="s">
        <v>19</v>
      </c>
    </row>
    <row r="8" spans="1:7" x14ac:dyDescent="0.25">
      <c r="G8" t="s">
        <v>20</v>
      </c>
    </row>
    <row r="9" spans="1:7" x14ac:dyDescent="0.25">
      <c r="G9" t="s">
        <v>21</v>
      </c>
    </row>
    <row r="10" spans="1:7" x14ac:dyDescent="0.25">
      <c r="G10" t="s">
        <v>22</v>
      </c>
    </row>
    <row r="11" spans="1:7" x14ac:dyDescent="0.25">
      <c r="G11" t="s">
        <v>23</v>
      </c>
    </row>
    <row r="12" spans="1:7" x14ac:dyDescent="0.25">
      <c r="G12" t="s">
        <v>24</v>
      </c>
    </row>
    <row r="13" spans="1:7" x14ac:dyDescent="0.25">
      <c r="G13" t="s">
        <v>25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7ED2-9D5C-4EBC-9F29-88418149B9F7}">
  <dimension ref="A1:Q55"/>
  <sheetViews>
    <sheetView showGridLines="0" zoomScale="85" zoomScaleNormal="85" workbookViewId="0">
      <selection activeCell="I20" sqref="I20"/>
    </sheetView>
  </sheetViews>
  <sheetFormatPr baseColWidth="10" defaultColWidth="11.42578125" defaultRowHeight="16.5" x14ac:dyDescent="0.3"/>
  <cols>
    <col min="1" max="1" width="2.28515625" style="2" customWidth="1"/>
    <col min="2" max="2" width="21.42578125" style="2" bestFit="1" customWidth="1"/>
    <col min="3" max="3" width="13.7109375" style="2" customWidth="1"/>
    <col min="4" max="4" width="13" style="2" bestFit="1" customWidth="1"/>
    <col min="5" max="5" width="13.7109375" style="2" bestFit="1" customWidth="1"/>
    <col min="6" max="6" width="19.28515625" style="2" bestFit="1" customWidth="1"/>
    <col min="7" max="7" width="18.5703125" style="2" bestFit="1" customWidth="1"/>
    <col min="8" max="8" width="15.7109375" style="2" bestFit="1" customWidth="1"/>
    <col min="9" max="9" width="17.85546875" style="2" bestFit="1" customWidth="1"/>
    <col min="10" max="10" width="28.7109375" style="2" bestFit="1" customWidth="1"/>
    <col min="11" max="11" width="11.7109375" style="2" bestFit="1" customWidth="1"/>
    <col min="12" max="12" width="4.85546875" style="2" customWidth="1"/>
    <col min="13" max="13" width="20.28515625" style="2" bestFit="1" customWidth="1"/>
    <col min="14" max="14" width="11.7109375" style="2" bestFit="1" customWidth="1"/>
    <col min="15" max="15" width="12" style="2" bestFit="1" customWidth="1"/>
    <col min="16" max="16" width="11" style="2" bestFit="1" customWidth="1"/>
    <col min="17" max="17" width="13" style="2" bestFit="1" customWidth="1"/>
    <col min="18" max="20" width="11.42578125" style="2"/>
    <col min="21" max="21" width="5" style="2" customWidth="1"/>
    <col min="22" max="22" width="5.5703125" style="2" customWidth="1"/>
    <col min="23" max="16384" width="11.42578125" style="2"/>
  </cols>
  <sheetData>
    <row r="1" spans="1:16" x14ac:dyDescent="0.3">
      <c r="B1" s="3" t="s">
        <v>26</v>
      </c>
    </row>
    <row r="2" spans="1:16" ht="21" customHeight="1" x14ac:dyDescent="0.35">
      <c r="B2" s="96" t="s">
        <v>22</v>
      </c>
      <c r="C2" s="96"/>
      <c r="G2" s="20" t="s">
        <v>27</v>
      </c>
      <c r="H2" s="37">
        <f>SUMIFS(Registro[Monto], Registro[Tipo], "Ingreso", Registro[Entidad], "Interbank", Registro[Mes], $B$2)
-
SUMIFS(Registro[Monto], Registro[Tipo], "Egreso", Registro[Entidad], "Interbank", Registro[Mes], $B$2)</f>
        <v>237.72000000000116</v>
      </c>
      <c r="J2" s="20" t="s">
        <v>28</v>
      </c>
    </row>
    <row r="3" spans="1:16" ht="21" customHeight="1" x14ac:dyDescent="0.35">
      <c r="A3" s="19"/>
      <c r="B3" s="19"/>
      <c r="C3" s="19"/>
      <c r="G3" s="20" t="s">
        <v>29</v>
      </c>
      <c r="H3" s="93">
        <f>SUMIFS(Registro[Monto], Registro[Tipo], "Ingreso", Registro[Entidad], "Interbank Amex", Registro[Mes], $B$2)
-
SUMIFS(Registro[Monto], Registro[Tipo], "Egreso", Registro[Entidad], "Interbank Amex", Registro[Mes], $B$2)</f>
        <v>963.4</v>
      </c>
      <c r="J3" s="112">
        <f>H2+H3+D36+D35+H4+H5</f>
        <v>2308.0700000000011</v>
      </c>
    </row>
    <row r="4" spans="1:16" ht="21" customHeight="1" x14ac:dyDescent="0.35">
      <c r="B4" s="19"/>
      <c r="C4" s="19"/>
      <c r="G4" s="20" t="s">
        <v>30</v>
      </c>
      <c r="H4" s="93">
        <f>SUMIFS(Registro[Monto], Registro[Tipo], "Ingreso", Registro[Entidad], "Ripley", Registro[Mes], $B$2)
-
SUMIFS(Registro[Monto], Registro[Tipo], "Egreso", Registro[Entidad], "Ripley", Registro[Mes], $B$2)</f>
        <v>618.12</v>
      </c>
      <c r="J4" s="112"/>
    </row>
    <row r="5" spans="1:16" ht="21" customHeight="1" x14ac:dyDescent="0.35">
      <c r="B5" s="19"/>
      <c r="C5" s="19"/>
      <c r="G5" s="20" t="s">
        <v>31</v>
      </c>
      <c r="H5" s="93">
        <f>SUMIFS(Registro[Monto], Registro[Tipo], "Ingreso", Registro[Entidad], "BBVA Bfree", Registro[Mes], $B$2)
-
SUMIFS(Registro[Monto], Registro[Tipo], "Egreso", Registro[Entidad], "BBVA Bfree", Registro[Mes], $B$2)</f>
        <v>488.43</v>
      </c>
    </row>
    <row r="6" spans="1:16" ht="21" customHeight="1" x14ac:dyDescent="0.35">
      <c r="B6" s="19"/>
      <c r="C6" s="19"/>
    </row>
    <row r="7" spans="1:16" x14ac:dyDescent="0.3">
      <c r="J7" s="4" t="s">
        <v>32</v>
      </c>
      <c r="M7" s="4" t="s">
        <v>33</v>
      </c>
    </row>
    <row r="8" spans="1:16" x14ac:dyDescent="0.3">
      <c r="B8" s="97" t="s">
        <v>34</v>
      </c>
      <c r="C8" s="98"/>
      <c r="D8" s="99"/>
      <c r="E8" s="10"/>
      <c r="F8" s="97" t="s">
        <v>35</v>
      </c>
      <c r="G8" s="98"/>
      <c r="H8" s="99"/>
      <c r="J8" s="25" t="s">
        <v>36</v>
      </c>
      <c r="K8" s="25" t="s">
        <v>37</v>
      </c>
      <c r="M8" s="21" t="s">
        <v>36</v>
      </c>
      <c r="N8" s="21" t="s">
        <v>37</v>
      </c>
    </row>
    <row r="9" spans="1:16" x14ac:dyDescent="0.3">
      <c r="B9" s="102">
        <f>SUMIFS(Maestro!E2:E686,Registro[Mes],Estadistica!$B$2,Registro[Tipo],"Ingreso")</f>
        <v>4554.2700000000004</v>
      </c>
      <c r="C9" s="102"/>
      <c r="D9" s="102"/>
      <c r="F9" s="102">
        <f>SUMIFS(Maestro!E2:E686,Registro[Mes],Estadistica!$B$2,Registro[Tipo],"Egreso")</f>
        <v>2246.5999999999995</v>
      </c>
      <c r="G9" s="102"/>
      <c r="H9" s="102"/>
      <c r="J9" s="6" t="str" cm="1">
        <f t="array" ref="J9:J15">_xlfn.UNIQUE(_xlfn._xlws.FILTER(Registro[Concepto],(Registro[Mes]=$B$2)*(Registro[Categoría]=J7)))</f>
        <v>Pago de Tarjeta Ripley</v>
      </c>
      <c r="K9" s="11">
        <f>SUMIFS(Maestro!$E$2:$E$686,Registro[Mes],Estadistica!$B$2,Registro[Concepto],J9)</f>
        <v>200.67</v>
      </c>
      <c r="M9" s="34" t="str" cm="1">
        <f t="array" ref="M9:M11">_xlfn.UNIQUE(_xlfn._xlws.FILTER(Registro[Concepto],(Registro[Mes]=$B$2)*(Registro[Categoría]=M7)))</f>
        <v>Futbol</v>
      </c>
      <c r="N9" s="11">
        <f>SUMIFS(Maestro!$E$2:$E$686,Registro[Mes],Estadistica!$B$2,Registro[Concepto],M9)</f>
        <v>24.5</v>
      </c>
    </row>
    <row r="10" spans="1:16" x14ac:dyDescent="0.3">
      <c r="J10" s="6" t="str">
        <v>Corte de Cabello</v>
      </c>
      <c r="K10" s="11">
        <f>SUMIFS(Maestro!$E$2:$E$686,Registro[Mes],Estadistica!$B$2,Registro[Concepto],J10)</f>
        <v>20</v>
      </c>
      <c r="M10" s="35" t="str">
        <v>Gaseosa</v>
      </c>
      <c r="N10" s="11">
        <f>SUMIFS(Maestro!$E$2:$E$686,Registro[Mes],Estadistica!$B$2,Registro[Concepto],M10)</f>
        <v>12.7</v>
      </c>
    </row>
    <row r="11" spans="1:16" x14ac:dyDescent="0.3">
      <c r="B11" s="4" t="s">
        <v>38</v>
      </c>
      <c r="F11" s="4" t="s">
        <v>39</v>
      </c>
      <c r="J11" s="6" t="str">
        <v>Pago de Tarjeta Interbank Amex</v>
      </c>
      <c r="K11" s="11">
        <f>SUMIFS(Maestro!$E$2:$E$686,Registro[Mes],Estadistica!$B$2,Registro[Concepto],J11)</f>
        <v>751.89</v>
      </c>
      <c r="M11" s="35" t="str">
        <v>Tortes</v>
      </c>
      <c r="N11" s="11">
        <f>SUMIFS(Maestro!$E$2:$E$686,Registro[Mes],Estadistica!$B$2,Registro[Concepto],M11)</f>
        <v>2</v>
      </c>
    </row>
    <row r="12" spans="1:16" x14ac:dyDescent="0.3">
      <c r="B12" s="21" t="s">
        <v>40</v>
      </c>
      <c r="C12" s="21" t="s">
        <v>37</v>
      </c>
      <c r="E12" s="10"/>
      <c r="F12" s="21" t="s">
        <v>40</v>
      </c>
      <c r="G12" s="21" t="s">
        <v>37</v>
      </c>
      <c r="J12" s="6" t="str">
        <v>Pago de Tarjeta BBVA Bfree</v>
      </c>
      <c r="K12" s="11">
        <f>SUMIFS(Maestro!$E$2:$E$686,Registro[Mes],Estadistica!$B$2,Registro[Concepto],J12)</f>
        <v>455.09</v>
      </c>
      <c r="M12" s="35"/>
      <c r="N12" s="11">
        <f>SUMIFS(Maestro!$E$2:$E$686,Registro[Mes],Estadistica!$B$2,Registro[Concepto],M12)</f>
        <v>0</v>
      </c>
    </row>
    <row r="13" spans="1:16" x14ac:dyDescent="0.3">
      <c r="B13" s="6" t="str" cm="1">
        <f t="array" ref="B13:B15">_xlfn.UNIQUE(_xlfn._xlws.FILTER(Registro[Categoría],(Registro[Mes]=$B$2)*(Registro[Tipo]="Ingreso")))</f>
        <v>Otro Ing</v>
      </c>
      <c r="C13" s="9">
        <f>SUMIFS(Maestro!$E$2:$E$686,Registro[Mes],Estadistica!$B$2,Registro[Categoría],B13)</f>
        <v>193.00000000000091</v>
      </c>
      <c r="F13" s="6" t="str" cm="1">
        <f t="array" ref="F13:F16">_xlfn.UNIQUE(_xlfn._xlws.FILTER(Registro[Categoría],(Registro[Mes]=$B$2)*(Registro[Tipo]="Egreso")))</f>
        <v>Servicio</v>
      </c>
      <c r="G13" s="9">
        <f>SUMIFS(Maestro!$E$2:$E$686,Registro[Mes],Estadistica!$B$2,Registro[Categoría],F13)</f>
        <v>1621.6399999999999</v>
      </c>
      <c r="J13" s="6" t="str">
        <v>Agua + Mantenimiento</v>
      </c>
      <c r="K13" s="11">
        <f>SUMIFS(Maestro!$E$2:$E$686,Registro[Mes],Estadistica!$B$2,Registro[Concepto],J13)</f>
        <v>160</v>
      </c>
      <c r="M13" s="35"/>
      <c r="N13" s="11">
        <f>SUMIFS(Maestro!$E$2:$E$686,Registro[Mes],Estadistica!$B$2,Registro[Concepto],M13)</f>
        <v>0</v>
      </c>
    </row>
    <row r="14" spans="1:16" x14ac:dyDescent="0.3">
      <c r="B14" s="6" t="str">
        <v>Sueldo</v>
      </c>
      <c r="C14" s="9">
        <f>SUMIFS(Maestro!$E$2:$E$686,Registro[Mes],Estadistica!$B$2,Registro[Categoría],B14)</f>
        <v>2259.63</v>
      </c>
      <c r="F14" s="6" t="str">
        <v>Deuda</v>
      </c>
      <c r="G14" s="9">
        <f>SUMIFS(Maestro!$E$2:$E$686,Registro[Mes],Estadistica!$B$2,Registro[Categoría],F14)</f>
        <v>505.76</v>
      </c>
      <c r="J14" s="6" t="str">
        <v>iCloud</v>
      </c>
      <c r="K14" s="11">
        <f>SUMIFS(Maestro!$E$2:$E$686,Registro[Mes],Estadistica!$B$2,Registro[Concepto],J14)</f>
        <v>15</v>
      </c>
      <c r="M14" s="35"/>
      <c r="N14" s="11">
        <f>SUMIFS(Maestro!$E$2:$E$686,Registro[Mes],Estadistica!$B$2,Registro[Concepto],M14)</f>
        <v>0</v>
      </c>
    </row>
    <row r="15" spans="1:16" x14ac:dyDescent="0.3">
      <c r="B15" s="6" t="str">
        <v>Tarjeta</v>
      </c>
      <c r="C15" s="9">
        <f>SUMIFS(Maestro!$E$2:$E$686,Registro[Mes],Estadistica!$B$2,Registro[Categoría],B15)</f>
        <v>2101.64</v>
      </c>
      <c r="F15" s="6" t="str">
        <v>Otro Egre</v>
      </c>
      <c r="G15" s="9">
        <f>SUMIFS(Maestro!$E$2:$E$686,Registro[Mes],Estadistica!$B$2,Registro[Categoría],F15)</f>
        <v>80</v>
      </c>
      <c r="J15" s="6" t="str">
        <v>IA</v>
      </c>
      <c r="K15" s="11">
        <f>SUMIFS(Maestro!$E$2:$E$686,Registro[Mes],Estadistica!$B$2,Registro[Concepto],J15)</f>
        <v>18.989999999999998</v>
      </c>
      <c r="M15" s="35"/>
      <c r="N15" s="11">
        <f>SUMIFS(Maestro!$E$2:$E$686,Registro[Mes],Estadistica!$B$2,Registro[Concepto],M15)</f>
        <v>0</v>
      </c>
    </row>
    <row r="16" spans="1:16" x14ac:dyDescent="0.3">
      <c r="B16" s="6"/>
      <c r="C16" s="9">
        <f>SUMIFS(Maestro!$E$2:$E$686,Registro[Mes],Estadistica!$B$2,Registro[Categoría],B16)</f>
        <v>0</v>
      </c>
      <c r="F16" s="6" t="str">
        <v>Gasto</v>
      </c>
      <c r="G16" s="9">
        <f>SUMIFS(Maestro!$E$2:$E$686,Registro[Mes],Estadistica!$B$2,Registro[Categoría],F16)</f>
        <v>39.200000000000003</v>
      </c>
      <c r="J16" s="6"/>
      <c r="K16" s="11">
        <f>SUMIFS(Maestro!$E$2:$E$686,Registro[Mes],Estadistica!$B$2,Registro[Concepto],J16)</f>
        <v>0</v>
      </c>
      <c r="M16" s="35"/>
      <c r="N16" s="11">
        <f>SUMIFS(Maestro!$E$2:$E$686,Registro[Mes],Estadistica!$B$2,Registro[Concepto],M16)</f>
        <v>0</v>
      </c>
      <c r="P16" s="14"/>
    </row>
    <row r="17" spans="2:17" x14ac:dyDescent="0.3">
      <c r="B17" s="6"/>
      <c r="C17" s="9">
        <f>SUMIFS(Maestro!$E$2:$E$686,Registro[Mes],Estadistica!$B$2,Registro[Categoría],B17)</f>
        <v>0</v>
      </c>
      <c r="F17" s="6"/>
      <c r="G17" s="9">
        <f>SUMIFS(Maestro!$E$2:$E$686,Registro[Mes],Estadistica!$B$2,Registro[Categoría],F17)</f>
        <v>0</v>
      </c>
      <c r="J17" s="6"/>
      <c r="K17" s="11">
        <f>SUMIFS(Maestro!$E$2:$E$686,Registro[Mes],Estadistica!$B$2,Registro[Concepto],J17)</f>
        <v>0</v>
      </c>
      <c r="M17" s="35"/>
      <c r="N17" s="11">
        <f>SUMIFS(Maestro!$E$2:$E$686,Registro[Mes],Estadistica!$B$2,Registro[Concepto],M17)</f>
        <v>0</v>
      </c>
    </row>
    <row r="18" spans="2:17" x14ac:dyDescent="0.3">
      <c r="B18" s="6"/>
      <c r="C18" s="9">
        <f>SUMIFS(Maestro!$E$2:$E$686,Registro[Mes],Estadistica!$B$2,Registro[Categoría],B18)</f>
        <v>0</v>
      </c>
      <c r="F18" s="6"/>
      <c r="G18" s="9">
        <f>SUMIFS(Maestro!$E$2:$E$686,Registro[Mes],Estadistica!$B$2,Registro[Categoría],F18)</f>
        <v>0</v>
      </c>
      <c r="J18" s="26"/>
      <c r="K18" s="11">
        <f>SUMIFS(Maestro!$E$2:$E$686,Registro[Mes],Estadistica!$B$2,Registro[Concepto],J18)</f>
        <v>0</v>
      </c>
      <c r="M18" s="35"/>
      <c r="N18" s="11">
        <f>SUMIFS(Maestro!$E$2:$E$686,Registro[Mes],Estadistica!$B$2,Registro[Concepto],M18)</f>
        <v>0</v>
      </c>
    </row>
    <row r="19" spans="2:17" x14ac:dyDescent="0.3">
      <c r="B19" s="7" t="s">
        <v>41</v>
      </c>
      <c r="C19" s="5">
        <f>SUM(C13:C18)</f>
        <v>4554.2700000000004</v>
      </c>
      <c r="F19" s="7" t="s">
        <v>41</v>
      </c>
      <c r="G19" s="5">
        <f>SUM(G13:G18)</f>
        <v>2246.5999999999995</v>
      </c>
      <c r="J19" s="26"/>
      <c r="K19" s="11">
        <f>SUMIFS(Maestro!$E$2:$E$686,Registro[Mes],Estadistica!$B$2,Registro[Concepto],J19)</f>
        <v>0</v>
      </c>
      <c r="M19" s="35"/>
      <c r="N19" s="11">
        <f>SUMIFS(Maestro!$E$2:$E$686,Registro[Mes],Estadistica!$B$2,Registro[Concepto],M19)</f>
        <v>0</v>
      </c>
    </row>
    <row r="20" spans="2:17" x14ac:dyDescent="0.3">
      <c r="J20" s="26"/>
      <c r="K20" s="11">
        <f>SUMIFS(Maestro!$E$2:$E$686,Registro[Mes],Estadistica!$B$2,Registro[Concepto],J20)</f>
        <v>0</v>
      </c>
      <c r="M20" s="35"/>
      <c r="N20" s="11">
        <f>SUMIFS(Maestro!$E$2:$E$686,Registro[Mes],Estadistica!$B$2,Registro[Concepto],M20)</f>
        <v>0</v>
      </c>
    </row>
    <row r="21" spans="2:17" x14ac:dyDescent="0.3">
      <c r="J21" s="7" t="s">
        <v>41</v>
      </c>
      <c r="K21" s="12">
        <f>SUM(K9:K20)</f>
        <v>1621.6399999999999</v>
      </c>
      <c r="M21" s="35"/>
      <c r="N21" s="11">
        <f>SUMIFS(Maestro!$E$2:$E$686,Registro[Mes],Estadistica!$B$2,Registro[Concepto],M21)</f>
        <v>0</v>
      </c>
      <c r="Q21" s="14"/>
    </row>
    <row r="22" spans="2:17" x14ac:dyDescent="0.3">
      <c r="M22" s="35"/>
      <c r="N22" s="11">
        <f>SUMIFS(Maestro!$E$2:$E$686,Registro[Mes],Estadistica!$B$2,Registro[Concepto],M22)</f>
        <v>0</v>
      </c>
    </row>
    <row r="23" spans="2:17" x14ac:dyDescent="0.3">
      <c r="F23" s="4" t="s">
        <v>42</v>
      </c>
      <c r="J23" s="4" t="s">
        <v>43</v>
      </c>
      <c r="M23" s="35"/>
      <c r="N23" s="11">
        <f>SUMIFS(Maestro!$E$2:$E$686,Registro[Mes],Estadistica!$B$2,Registro[Concepto],M23)</f>
        <v>0</v>
      </c>
    </row>
    <row r="24" spans="2:17" x14ac:dyDescent="0.3">
      <c r="B24" s="103" t="s">
        <v>44</v>
      </c>
      <c r="C24" s="104"/>
      <c r="D24" s="105"/>
      <c r="F24" s="21" t="s">
        <v>36</v>
      </c>
      <c r="G24" s="21" t="s">
        <v>37</v>
      </c>
      <c r="J24" s="21" t="s">
        <v>36</v>
      </c>
      <c r="K24" s="21" t="s">
        <v>37</v>
      </c>
      <c r="M24" s="35"/>
      <c r="N24" s="11">
        <f>SUMIFS(Maestro!$E$2:$E$686,Registro[Mes],Estadistica!$B$2,Registro[Concepto],M24)</f>
        <v>0</v>
      </c>
    </row>
    <row r="25" spans="2:17" x14ac:dyDescent="0.3">
      <c r="B25" s="108" t="s">
        <v>45</v>
      </c>
      <c r="C25" s="109"/>
      <c r="D25" s="36">
        <f>H2</f>
        <v>237.72000000000116</v>
      </c>
      <c r="F25" s="6" t="str" cm="1">
        <f t="array" ref="F25">_xlfn.UNIQUE(_xlfn._xlws.FILTER(Registro[Concepto],(Registro[Mes]=$B$2)*(Registro[Categoría]=F23)))</f>
        <v>Titulación</v>
      </c>
      <c r="G25" s="9">
        <f>SUMIFS(Maestro!$E$2:$E$686,Registro[Mes],Estadistica!$B$2,Registro[Concepto],F25)</f>
        <v>80</v>
      </c>
      <c r="H25" s="2" t="s">
        <v>2</v>
      </c>
      <c r="J25" s="6" t="str" cm="1">
        <f t="array" ref="J25">_xlfn.UNIQUE(_xlfn._xlws.FILTER(Registro[Concepto],(Registro[Mes]=$B$2)*(Registro[Categoría]=J23)))</f>
        <v>Bonificación Ahorro</v>
      </c>
      <c r="K25" s="9">
        <f>SUMIFS(Maestro!$E$2:$E$686,Registro[Mes],Estadistica!$B$2,Registro[Concepto],J25)</f>
        <v>193.00000000000091</v>
      </c>
      <c r="M25" s="35"/>
      <c r="N25" s="11">
        <f>SUMIFS(Maestro!$E$2:$E$686,Registro[Mes],Estadistica!$B$2,Registro[Concepto],M25)</f>
        <v>0</v>
      </c>
    </row>
    <row r="26" spans="2:17" x14ac:dyDescent="0.3">
      <c r="B26" s="106" t="s">
        <v>46</v>
      </c>
      <c r="C26" s="107"/>
      <c r="D26" s="37">
        <v>0</v>
      </c>
      <c r="F26" s="6"/>
      <c r="G26" s="9">
        <f>SUMIFS(Maestro!$E$2:$E$686,Registro[Mes],Estadistica!$B$2,Registro[Concepto],F26)</f>
        <v>0</v>
      </c>
      <c r="J26" s="6"/>
      <c r="K26" s="9">
        <f>SUMIFS(Maestro!$E$2:$E$686,Registro[Mes],Estadistica!$B$2,Registro[Concepto],J26)</f>
        <v>0</v>
      </c>
      <c r="M26" s="35"/>
      <c r="N26" s="11">
        <f>SUMIFS(Maestro!$E$2:$E$686,Registro[Mes],Estadistica!$B$2,Registro[Concepto],M26)</f>
        <v>0</v>
      </c>
    </row>
    <row r="27" spans="2:17" ht="16.5" customHeight="1" x14ac:dyDescent="0.3">
      <c r="B27" s="108" t="s">
        <v>47</v>
      </c>
      <c r="C27" s="109"/>
      <c r="D27" s="39">
        <f>1000-D28</f>
        <v>36.600000000000023</v>
      </c>
      <c r="F27" s="6"/>
      <c r="G27" s="9">
        <f>SUMIFS(Maestro!$E$2:$E$686,Registro[Mes],Estadistica!$B$2,Registro[Concepto],F27)</f>
        <v>0</v>
      </c>
      <c r="J27" s="6"/>
      <c r="K27" s="9">
        <f>SUMIFS(Maestro!$E$2:$E$686,Registro[Mes],Estadistica!$B$2,Registro[Concepto],J27)</f>
        <v>0</v>
      </c>
      <c r="M27" s="35"/>
      <c r="N27" s="11">
        <f>SUMIFS(Maestro!$E$2:$E$686,Registro[Mes],Estadistica!$B$2,Registro[Concepto],M27)</f>
        <v>0</v>
      </c>
      <c r="Q27" s="18"/>
    </row>
    <row r="28" spans="2:17" ht="16.5" customHeight="1" x14ac:dyDescent="0.3">
      <c r="B28" s="108" t="s">
        <v>48</v>
      </c>
      <c r="C28" s="109"/>
      <c r="D28" s="39">
        <f>H3</f>
        <v>963.4</v>
      </c>
      <c r="F28" s="6"/>
      <c r="G28" s="9">
        <f>SUMIFS(Maestro!$E$2:$E$686,Registro[Mes],Estadistica!$B$2,Registro[Concepto],F28)</f>
        <v>0</v>
      </c>
      <c r="J28" s="6"/>
      <c r="K28" s="9">
        <f>SUMIFS(Maestro!$E$2:$E$686,Registro[Mes],Estadistica!$B$2,Registro[Concepto],J28)</f>
        <v>0</v>
      </c>
      <c r="M28" s="35"/>
      <c r="N28" s="11">
        <f>SUMIFS(Maestro!$E$2:$E$686,Registro[Mes],Estadistica!$B$2,Registro[Concepto],M28)</f>
        <v>0</v>
      </c>
    </row>
    <row r="29" spans="2:17" x14ac:dyDescent="0.3">
      <c r="B29" s="110" t="s">
        <v>49</v>
      </c>
      <c r="C29" s="111"/>
      <c r="D29" s="56">
        <f>1000-D30</f>
        <v>381.88</v>
      </c>
      <c r="F29" s="6"/>
      <c r="G29" s="9">
        <f>SUMIFS(Maestro!$E$2:$E$686,Registro[Mes],Estadistica!$B$2,Registro[Concepto],F29)</f>
        <v>0</v>
      </c>
      <c r="J29" s="6"/>
      <c r="K29" s="9">
        <f>SUMIFS(Maestro!$E$2:$E$686,Registro[Mes],Estadistica!$B$2,Registro[Concepto],J29)</f>
        <v>0</v>
      </c>
      <c r="M29" s="35"/>
      <c r="N29" s="11">
        <f>SUMIFS(Maestro!$E$2:$E$686,Registro[Mes],Estadistica!$B$2,Registro[Concepto],M29)</f>
        <v>0</v>
      </c>
    </row>
    <row r="30" spans="2:17" ht="16.5" customHeight="1" x14ac:dyDescent="0.3">
      <c r="B30" s="110" t="s">
        <v>50</v>
      </c>
      <c r="C30" s="111"/>
      <c r="D30" s="56">
        <f>H4</f>
        <v>618.12</v>
      </c>
      <c r="F30" s="6"/>
      <c r="G30" s="9">
        <f>SUMIFS(Maestro!$E$2:$E$686,Registro[Mes],Estadistica!$B$2,Registro[Concepto],F30)</f>
        <v>0</v>
      </c>
      <c r="J30" s="6"/>
      <c r="K30" s="9">
        <f>SUMIFS(Maestro!$E$2:$E$686,Registro[Mes],Estadistica!$B$2,Registro[Concepto],J30)</f>
        <v>0</v>
      </c>
      <c r="M30" s="35"/>
      <c r="N30" s="11">
        <f>SUMIFS(Maestro!$E$2:$E$686,Registro[Mes],Estadistica!$B$2,Registro[Concepto],M30)</f>
        <v>0</v>
      </c>
    </row>
    <row r="31" spans="2:17" ht="16.5" customHeight="1" x14ac:dyDescent="0.3">
      <c r="B31" s="113" t="s">
        <v>51</v>
      </c>
      <c r="C31" s="114"/>
      <c r="D31" s="81">
        <f>700-D32</f>
        <v>211.57</v>
      </c>
      <c r="F31" s="6"/>
      <c r="G31" s="9">
        <f>SUMIFS(Maestro!$E$2:$E$686,Registro[Mes],Estadistica!$B$2,Registro[Concepto],F31)</f>
        <v>0</v>
      </c>
      <c r="J31" s="6"/>
      <c r="K31" s="9">
        <f>SUMIFS(Maestro!$E$2:$E$686,Registro[Mes],Estadistica!$B$2,Registro[Concepto],J31)</f>
        <v>0</v>
      </c>
      <c r="M31" s="35"/>
      <c r="N31" s="11">
        <f>SUMIFS(Maestro!$E$2:$E$686,Registro[Mes],Estadistica!$B$2,Registro[Concepto],M31)</f>
        <v>0</v>
      </c>
    </row>
    <row r="32" spans="2:17" s="38" customFormat="1" ht="16.5" customHeight="1" x14ac:dyDescent="0.3">
      <c r="B32" s="113" t="s">
        <v>52</v>
      </c>
      <c r="C32" s="114"/>
      <c r="D32" s="81">
        <f>H5</f>
        <v>488.43</v>
      </c>
      <c r="F32" s="7" t="s">
        <v>41</v>
      </c>
      <c r="G32" s="8">
        <f>SUM(G25:G31)</f>
        <v>80</v>
      </c>
      <c r="H32" s="2"/>
      <c r="I32" s="2"/>
      <c r="J32" s="7" t="s">
        <v>41</v>
      </c>
      <c r="K32" s="8">
        <f>SUM(K25:K31)</f>
        <v>193.00000000000091</v>
      </c>
      <c r="M32" s="35"/>
      <c r="N32" s="11">
        <f>SUMIFS(Maestro!$E$2:$E$686,Registro[Mes],Estadistica!$B$2,Registro[Concepto],M32)</f>
        <v>0</v>
      </c>
    </row>
    <row r="33" spans="2:14" s="38" customFormat="1" ht="16.5" customHeight="1" x14ac:dyDescent="0.3">
      <c r="B33" s="100" t="s">
        <v>53</v>
      </c>
      <c r="C33" s="101"/>
      <c r="D33" s="57">
        <v>0</v>
      </c>
      <c r="E33" s="2"/>
      <c r="F33" s="2"/>
      <c r="G33" s="2"/>
      <c r="H33" s="2"/>
      <c r="I33" s="2"/>
      <c r="J33" s="2"/>
      <c r="K33" s="2"/>
      <c r="M33" s="35"/>
      <c r="N33" s="11">
        <f>SUMIFS(Maestro!$E$2:$E$686,Registro[Mes],Estadistica!$B$2,Registro[Concepto],M33)</f>
        <v>0</v>
      </c>
    </row>
    <row r="34" spans="2:14" ht="27" x14ac:dyDescent="0.3">
      <c r="B34" s="94" t="s">
        <v>54</v>
      </c>
      <c r="C34" s="95"/>
      <c r="D34" s="58">
        <v>0</v>
      </c>
      <c r="M34" s="35"/>
      <c r="N34" s="11">
        <f>SUMIFS(Maestro!$E$2:$E$686,Registro[Mes],Estadistica!$B$2,Registro[Concepto],M34)</f>
        <v>0</v>
      </c>
    </row>
    <row r="35" spans="2:14" ht="16.5" customHeight="1" x14ac:dyDescent="0.3">
      <c r="B35" s="52" t="s">
        <v>55</v>
      </c>
      <c r="C35" s="53"/>
      <c r="D35" s="37">
        <f>SUMIFS(Registro[Monto], Registro[Tipo], "Ingreso", Registro[Entidad], "BCP", Registro[Mes], $B$2)
-
SUMIFS(Registro[Monto], Registro[Tipo], "Egreso", Registro[Entidad], "BCP", Registro[Mes], $B$2)</f>
        <v>0</v>
      </c>
      <c r="F35" s="117" t="s">
        <v>56</v>
      </c>
      <c r="G35" s="118"/>
      <c r="H35" s="119"/>
      <c r="M35" s="35"/>
      <c r="N35" s="11">
        <f>SUMIFS(Maestro!$E$2:$E$686,Registro[Mes],Estadistica!$B$2,Registro[Concepto],M35)</f>
        <v>0</v>
      </c>
    </row>
    <row r="36" spans="2:14" x14ac:dyDescent="0.3">
      <c r="B36" s="54" t="s">
        <v>57</v>
      </c>
      <c r="C36" s="55"/>
      <c r="D36" s="37">
        <v>0.4</v>
      </c>
      <c r="F36" s="89" t="s">
        <v>58</v>
      </c>
      <c r="G36" s="90"/>
      <c r="H36" s="20">
        <v>2320381</v>
      </c>
      <c r="M36" s="35"/>
      <c r="N36" s="11">
        <f>SUMIFS(Maestro!$E$2:$E$686,Registro[Mes],Estadistica!$B$2,Registro[Concepto],M36)</f>
        <v>0</v>
      </c>
    </row>
    <row r="37" spans="2:14" x14ac:dyDescent="0.3">
      <c r="F37" s="115" t="s">
        <v>59</v>
      </c>
      <c r="G37" s="116"/>
      <c r="H37" s="20">
        <v>145300</v>
      </c>
      <c r="M37" s="35"/>
      <c r="N37" s="11">
        <f>SUMIFS(Maestro!$E$2:$E$686,Registro[Mes],Estadistica!$B$2,Registro[Concepto],M37)</f>
        <v>0</v>
      </c>
    </row>
    <row r="38" spans="2:14" ht="16.5" customHeight="1" x14ac:dyDescent="0.3">
      <c r="B38" s="103" t="s">
        <v>60</v>
      </c>
      <c r="C38" s="104"/>
      <c r="D38" s="105"/>
      <c r="F38" s="115" t="s">
        <v>61</v>
      </c>
      <c r="G38" s="116"/>
      <c r="H38" s="20" t="s">
        <v>62</v>
      </c>
      <c r="J38" s="4" t="s">
        <v>63</v>
      </c>
      <c r="M38" s="35"/>
      <c r="N38" s="11">
        <f>SUMIFS(Maestro!$E$2:$E$686,Registro[Mes],Estadistica!$B$2,Registro[Concepto],M38)</f>
        <v>0</v>
      </c>
    </row>
    <row r="39" spans="2:14" x14ac:dyDescent="0.3">
      <c r="B39" s="41" t="s">
        <v>64</v>
      </c>
      <c r="C39" s="42"/>
      <c r="D39" s="37">
        <v>1827.54</v>
      </c>
      <c r="J39" s="21" t="s">
        <v>36</v>
      </c>
      <c r="K39" s="21" t="s">
        <v>37</v>
      </c>
      <c r="M39" s="35"/>
      <c r="N39" s="11">
        <f>SUMIFS(Maestro!$E$2:$E$686,Registro[Mes],Estadistica!$B$2,Registro[Concepto],M39)</f>
        <v>0</v>
      </c>
    </row>
    <row r="40" spans="2:14" ht="16.5" customHeight="1" x14ac:dyDescent="0.3">
      <c r="B40" s="91" t="s">
        <v>65</v>
      </c>
      <c r="C40" s="92"/>
      <c r="D40" s="37">
        <v>0</v>
      </c>
      <c r="G40" s="20" t="s">
        <v>66</v>
      </c>
      <c r="H40" s="20" t="s">
        <v>67</v>
      </c>
      <c r="J40" s="6" t="str" cm="1">
        <f t="array" ref="J40:J42">_xlfn.UNIQUE(_xlfn._xlws.FILTER(Registro[Concepto],(Registro[Mes]=$B$2)*(Registro[Categoría]=J38)))</f>
        <v>Prestamo Yape</v>
      </c>
      <c r="K40" s="9">
        <f>SUMIFS(Maestro!$E$2:$E$686,Registro[Mes],Estadistica!$B$2,Registro[Concepto],J40)</f>
        <v>116.85</v>
      </c>
      <c r="M40" s="35"/>
      <c r="N40" s="11">
        <f>SUMIFS(Maestro!$E$2:$E$686,Registro[Mes],Estadistica!$B$2,Registro[Concepto],M40)</f>
        <v>0</v>
      </c>
    </row>
    <row r="41" spans="2:14" x14ac:dyDescent="0.3">
      <c r="B41" s="91" t="s">
        <v>68</v>
      </c>
      <c r="C41" s="92"/>
      <c r="D41" s="37">
        <v>0</v>
      </c>
      <c r="G41" s="67" t="s">
        <v>69</v>
      </c>
      <c r="H41" s="63" t="s">
        <v>70</v>
      </c>
      <c r="J41" s="6" t="str">
        <v>iPhone 16</v>
      </c>
      <c r="K41" s="9">
        <f>SUMIFS(Maestro!$E$2:$E$686,Registro[Mes],Estadistica!$B$2,Registro[Concepto],J41)</f>
        <v>245.75</v>
      </c>
      <c r="M41" s="35"/>
      <c r="N41" s="11">
        <f>SUMIFS(Maestro!$E$2:$E$686,Registro[Mes],Estadistica!$B$2,Registro[Concepto],M41)</f>
        <v>0</v>
      </c>
    </row>
    <row r="42" spans="2:14" x14ac:dyDescent="0.3">
      <c r="B42" s="108" t="s">
        <v>71</v>
      </c>
      <c r="C42" s="109"/>
      <c r="D42" s="37">
        <v>0</v>
      </c>
      <c r="G42" s="67" t="s">
        <v>72</v>
      </c>
      <c r="H42" s="63" t="s">
        <v>73</v>
      </c>
      <c r="J42" s="6" t="str">
        <v>Prestamo BCP</v>
      </c>
      <c r="K42" s="9">
        <f>SUMIFS(Maestro!$E$2:$E$686,Registro[Mes],Estadistica!$B$2,Registro[Concepto],J42)</f>
        <v>143.16</v>
      </c>
      <c r="M42" s="35"/>
      <c r="N42" s="11">
        <f>SUMIFS(Maestro!$E$2:$E$686,Registro[Mes],Estadistica!$B$2,Registro[Concepto],M42)</f>
        <v>0</v>
      </c>
    </row>
    <row r="43" spans="2:14" x14ac:dyDescent="0.3">
      <c r="B43" s="108" t="s">
        <v>74</v>
      </c>
      <c r="C43" s="109"/>
      <c r="D43" s="37">
        <v>620</v>
      </c>
      <c r="G43" s="67" t="s">
        <v>75</v>
      </c>
      <c r="H43" s="63" t="s">
        <v>73</v>
      </c>
      <c r="J43" s="6"/>
      <c r="K43" s="9">
        <f>SUMIFS(Maestro!$E$2:$E$686,Registro[Mes],Estadistica!$B$2,Registro[Concepto],J43)</f>
        <v>0</v>
      </c>
      <c r="M43" s="35"/>
      <c r="N43" s="11">
        <f>SUMIFS(Maestro!$E$2:$E$686,Registro[Mes],Estadistica!$B$2,Registro[Concepto],M43)</f>
        <v>0</v>
      </c>
    </row>
    <row r="44" spans="2:14" x14ac:dyDescent="0.3">
      <c r="G44" s="67" t="s">
        <v>76</v>
      </c>
      <c r="H44" s="63" t="s">
        <v>73</v>
      </c>
      <c r="J44" s="6"/>
      <c r="K44" s="9">
        <f>SUMIFS(Maestro!$E$2:$E$686,Registro[Mes],Estadistica!$B$2,Registro[Concepto],J44)</f>
        <v>0</v>
      </c>
      <c r="M44" s="35"/>
      <c r="N44" s="11">
        <f>SUMIFS(Maestro!$E$2:$E$686,Registro[Mes],Estadistica!$B$2,Registro[Concepto],M44)</f>
        <v>0</v>
      </c>
    </row>
    <row r="45" spans="2:14" ht="16.5" customHeight="1" x14ac:dyDescent="0.3">
      <c r="B45" s="120" t="s">
        <v>14</v>
      </c>
      <c r="C45" s="121"/>
      <c r="D45" s="122"/>
      <c r="E45" s="20" t="s">
        <v>77</v>
      </c>
      <c r="G45" s="67" t="s">
        <v>78</v>
      </c>
      <c r="H45" s="63" t="s">
        <v>73</v>
      </c>
      <c r="J45" s="6"/>
      <c r="K45" s="9">
        <f>SUMIFS(Maestro!$E$2:$E$686,Registro[Mes],Estadistica!$B$2,Registro[Concepto],J45)</f>
        <v>0</v>
      </c>
      <c r="M45" s="35"/>
      <c r="N45" s="11">
        <f>SUMIFS(Maestro!$E$2:$E$686,Registro[Mes],Estadistica!$B$2,Registro[Concepto],M45)</f>
        <v>0</v>
      </c>
    </row>
    <row r="46" spans="2:14" x14ac:dyDescent="0.3">
      <c r="B46" s="127"/>
      <c r="C46" s="128"/>
      <c r="D46" s="37" t="s">
        <v>79</v>
      </c>
      <c r="E46" s="37" t="s">
        <v>80</v>
      </c>
      <c r="G46" s="67" t="s">
        <v>81</v>
      </c>
      <c r="H46" s="63" t="s">
        <v>73</v>
      </c>
      <c r="J46" s="7" t="s">
        <v>41</v>
      </c>
      <c r="K46" s="8">
        <f>SUM(K40:K45)</f>
        <v>505.76</v>
      </c>
      <c r="M46" s="13" t="s">
        <v>41</v>
      </c>
      <c r="N46" s="12">
        <f>SUM(N9:N45)</f>
        <v>39.200000000000003</v>
      </c>
    </row>
    <row r="47" spans="2:14" x14ac:dyDescent="0.3">
      <c r="B47" s="125" t="s">
        <v>82</v>
      </c>
      <c r="C47" s="126"/>
      <c r="D47" s="37">
        <f>SUMIFS(Registro[Monto], Registro[Concepto], "Madre",Registro[Categoría],"Deuda")</f>
        <v>0</v>
      </c>
      <c r="E47" s="37">
        <f>2500-D47</f>
        <v>2500</v>
      </c>
    </row>
    <row r="48" spans="2:14" x14ac:dyDescent="0.3">
      <c r="B48" s="125" t="s">
        <v>83</v>
      </c>
      <c r="C48" s="126"/>
      <c r="D48" s="37">
        <f>SUMIFS(Registro[Monto], Registro[Concepto], "Prestamo BCP",Registro[Categoría],"Deuda")</f>
        <v>429.48</v>
      </c>
      <c r="E48" s="37">
        <f>1717.92-D48</f>
        <v>1288.44</v>
      </c>
    </row>
    <row r="49" spans="2:5" x14ac:dyDescent="0.3">
      <c r="B49" s="125" t="s">
        <v>84</v>
      </c>
      <c r="C49" s="126"/>
      <c r="D49" s="37">
        <f>SUMIFS(Registro[Monto], Registro[Concepto], "Prestamo Yape",Registro[Categoría],"Deuda")</f>
        <v>350.54999999999995</v>
      </c>
      <c r="E49" s="37">
        <f>701.05-D49</f>
        <v>350.5</v>
      </c>
    </row>
    <row r="50" spans="2:5" x14ac:dyDescent="0.3">
      <c r="B50" s="125" t="s">
        <v>85</v>
      </c>
      <c r="C50" s="126"/>
      <c r="D50" s="37">
        <f>SUMIFS(Registro[Monto], Registro[Concepto], "iPhone 16")</f>
        <v>1474.5</v>
      </c>
      <c r="E50" s="37">
        <f>2949-D50</f>
        <v>1474.5</v>
      </c>
    </row>
    <row r="53" spans="2:5" ht="18" customHeight="1" x14ac:dyDescent="0.3">
      <c r="B53" s="120" t="s">
        <v>86</v>
      </c>
      <c r="C53" s="121"/>
      <c r="D53" s="122"/>
    </row>
    <row r="54" spans="2:5" x14ac:dyDescent="0.3">
      <c r="B54" s="125" t="s">
        <v>87</v>
      </c>
      <c r="C54" s="126">
        <v>80</v>
      </c>
      <c r="D54" s="37">
        <v>40</v>
      </c>
    </row>
    <row r="55" spans="2:5" x14ac:dyDescent="0.3">
      <c r="B55" s="123" t="s">
        <v>88</v>
      </c>
      <c r="C55" s="124">
        <v>80</v>
      </c>
      <c r="D55" s="84">
        <v>120</v>
      </c>
    </row>
  </sheetData>
  <mergeCells count="31">
    <mergeCell ref="B55:C55"/>
    <mergeCell ref="B54:C54"/>
    <mergeCell ref="B45:D45"/>
    <mergeCell ref="B46:C46"/>
    <mergeCell ref="B48:C48"/>
    <mergeCell ref="B49:C49"/>
    <mergeCell ref="B50:C50"/>
    <mergeCell ref="B47:C47"/>
    <mergeCell ref="B38:D38"/>
    <mergeCell ref="F37:G37"/>
    <mergeCell ref="F38:G38"/>
    <mergeCell ref="F35:H35"/>
    <mergeCell ref="B53:D53"/>
    <mergeCell ref="B43:C43"/>
    <mergeCell ref="B42:C42"/>
    <mergeCell ref="J3:J4"/>
    <mergeCell ref="B27:C27"/>
    <mergeCell ref="B28:C28"/>
    <mergeCell ref="B31:C31"/>
    <mergeCell ref="B32:C32"/>
    <mergeCell ref="F8:H8"/>
    <mergeCell ref="F9:H9"/>
    <mergeCell ref="B2:C2"/>
    <mergeCell ref="B8:D8"/>
    <mergeCell ref="B33:C33"/>
    <mergeCell ref="B9:D9"/>
    <mergeCell ref="B24:D24"/>
    <mergeCell ref="B26:C26"/>
    <mergeCell ref="B25:C25"/>
    <mergeCell ref="B29:C29"/>
    <mergeCell ref="B30:C30"/>
  </mergeCells>
  <phoneticPr fontId="4" type="noConversion"/>
  <conditionalFormatting sqref="K9:K21 N9:N46 G13:G19 G25:G32 K25:K32 K40:K46">
    <cfRule type="expression" dxfId="38" priority="5">
      <formula>#REF!&gt;G9</formula>
    </cfRule>
    <cfRule type="expression" dxfId="37" priority="6">
      <formula>#REF!&lt;G9</formula>
    </cfRule>
  </conditionalFormatting>
  <pageMargins left="0.7" right="0.7" top="0.75" bottom="0.75" header="0.3" footer="0.3"/>
  <pageSetup orientation="portrait" r:id="rId1"/>
  <ignoredErrors>
    <ignoredError sqref="D28" formula="1"/>
  </ignoredError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1053B1-0BC7-4B88-8C98-972BAAE9B84C}">
          <x14:formula1>
            <xm:f>'Listas Validadas'!$G$2:$G$13</xm:f>
          </x14:formula1>
          <xm:sqref>B2 B4:B6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90AC5-A4E4-4F04-A99A-9FEE18B9F26C}">
  <dimension ref="A1:U686"/>
  <sheetViews>
    <sheetView topLeftCell="A654" zoomScale="85" zoomScaleNormal="85" workbookViewId="0">
      <selection activeCell="E684" sqref="E684"/>
    </sheetView>
  </sheetViews>
  <sheetFormatPr baseColWidth="10" defaultColWidth="10.7109375" defaultRowHeight="15" x14ac:dyDescent="0.25"/>
  <cols>
    <col min="1" max="3" width="19" customWidth="1"/>
    <col min="4" max="4" width="27" bestFit="1" customWidth="1"/>
    <col min="5" max="5" width="15.7109375" style="15" customWidth="1"/>
    <col min="6" max="6" width="19" customWidth="1"/>
    <col min="9" max="9" width="11.5703125" bestFit="1" customWidth="1"/>
    <col min="10" max="10" width="10.28515625" bestFit="1" customWidth="1"/>
    <col min="11" max="11" width="11.5703125" bestFit="1" customWidth="1"/>
    <col min="12" max="12" width="10.28515625" bestFit="1" customWidth="1"/>
    <col min="13" max="13" width="11.5703125" bestFit="1" customWidth="1"/>
    <col min="14" max="14" width="14.7109375" customWidth="1"/>
    <col min="15" max="15" width="30.5703125" bestFit="1" customWidth="1"/>
    <col min="16" max="16" width="11.85546875" bestFit="1" customWidth="1"/>
    <col min="17" max="17" width="15.42578125" bestFit="1" customWidth="1"/>
    <col min="18" max="18" width="22.28515625" bestFit="1" customWidth="1"/>
    <col min="19" max="19" width="30.5703125" bestFit="1" customWidth="1"/>
    <col min="20" max="20" width="10.5703125" bestFit="1" customWidth="1"/>
    <col min="21" max="21" width="10" bestFit="1" customWidth="1"/>
    <col min="22" max="22" width="15.5703125" bestFit="1" customWidth="1"/>
    <col min="23" max="23" width="9" bestFit="1" customWidth="1"/>
    <col min="24" max="25" width="11.5703125" bestFit="1" customWidth="1"/>
    <col min="26" max="26" width="9.42578125" bestFit="1" customWidth="1"/>
  </cols>
  <sheetData>
    <row r="1" spans="1:7" x14ac:dyDescent="0.25">
      <c r="A1" s="16" t="s">
        <v>0</v>
      </c>
      <c r="B1" s="24" t="s">
        <v>89</v>
      </c>
      <c r="C1" s="16" t="s">
        <v>90</v>
      </c>
      <c r="D1" s="16" t="s">
        <v>36</v>
      </c>
      <c r="E1" s="17" t="s">
        <v>37</v>
      </c>
      <c r="F1" s="16" t="s">
        <v>67</v>
      </c>
      <c r="G1" s="16" t="s">
        <v>91</v>
      </c>
    </row>
    <row r="2" spans="1:7" x14ac:dyDescent="0.25">
      <c r="A2" s="16" t="s">
        <v>5</v>
      </c>
      <c r="B2" s="24">
        <v>46023</v>
      </c>
      <c r="C2" s="16" t="s">
        <v>43</v>
      </c>
      <c r="D2" s="16" t="s">
        <v>92</v>
      </c>
      <c r="E2" s="17">
        <f>22.6+2.24+7.18</f>
        <v>32.020000000000003</v>
      </c>
      <c r="F2" s="16" t="s">
        <v>70</v>
      </c>
      <c r="G2" s="16" t="str">
        <f t="shared" ref="G2:G65" si="0">TEXT(B2,"MMMM")</f>
        <v>Enero</v>
      </c>
    </row>
    <row r="3" spans="1:7" x14ac:dyDescent="0.25">
      <c r="A3" s="16" t="s">
        <v>5</v>
      </c>
      <c r="B3" s="24">
        <v>46023</v>
      </c>
      <c r="C3" s="16" t="s">
        <v>6</v>
      </c>
      <c r="D3" s="16" t="s">
        <v>6</v>
      </c>
      <c r="E3" s="17">
        <v>2073.06</v>
      </c>
      <c r="F3" s="16" t="s">
        <v>70</v>
      </c>
      <c r="G3" s="16" t="str">
        <f t="shared" si="0"/>
        <v>Enero</v>
      </c>
    </row>
    <row r="4" spans="1:7" x14ac:dyDescent="0.25">
      <c r="A4" s="16" t="s">
        <v>9</v>
      </c>
      <c r="B4" s="24">
        <v>46023</v>
      </c>
      <c r="C4" s="16" t="s">
        <v>32</v>
      </c>
      <c r="D4" s="16" t="s">
        <v>93</v>
      </c>
      <c r="E4" s="17">
        <v>79</v>
      </c>
      <c r="F4" s="16" t="s">
        <v>70</v>
      </c>
      <c r="G4" s="16" t="str">
        <f t="shared" si="0"/>
        <v>Enero</v>
      </c>
    </row>
    <row r="5" spans="1:7" x14ac:dyDescent="0.25">
      <c r="A5" s="16" t="s">
        <v>9</v>
      </c>
      <c r="B5" s="24">
        <v>46023</v>
      </c>
      <c r="C5" s="16" t="s">
        <v>32</v>
      </c>
      <c r="D5" s="16" t="s">
        <v>94</v>
      </c>
      <c r="E5" s="17">
        <v>104</v>
      </c>
      <c r="F5" s="16" t="s">
        <v>70</v>
      </c>
      <c r="G5" s="16" t="str">
        <f t="shared" si="0"/>
        <v>Enero</v>
      </c>
    </row>
    <row r="6" spans="1:7" x14ac:dyDescent="0.25">
      <c r="A6" s="16" t="s">
        <v>9</v>
      </c>
      <c r="B6" s="24">
        <v>46023</v>
      </c>
      <c r="C6" s="16" t="s">
        <v>32</v>
      </c>
      <c r="D6" s="16" t="s">
        <v>95</v>
      </c>
      <c r="E6" s="17">
        <v>29.3</v>
      </c>
      <c r="F6" s="16" t="s">
        <v>70</v>
      </c>
      <c r="G6" s="16" t="str">
        <f t="shared" si="0"/>
        <v>Enero</v>
      </c>
    </row>
    <row r="7" spans="1:7" x14ac:dyDescent="0.25">
      <c r="A7" s="16" t="s">
        <v>9</v>
      </c>
      <c r="B7" s="24">
        <v>46023</v>
      </c>
      <c r="C7" s="16" t="s">
        <v>32</v>
      </c>
      <c r="D7" s="16" t="s">
        <v>96</v>
      </c>
      <c r="E7" s="17">
        <v>128.08000000000001</v>
      </c>
      <c r="F7" s="16" t="s">
        <v>70</v>
      </c>
      <c r="G7" s="16" t="str">
        <f t="shared" si="0"/>
        <v>Enero</v>
      </c>
    </row>
    <row r="8" spans="1:7" x14ac:dyDescent="0.25">
      <c r="A8" s="16" t="s">
        <v>9</v>
      </c>
      <c r="B8" s="24">
        <v>46023</v>
      </c>
      <c r="C8" s="16" t="s">
        <v>33</v>
      </c>
      <c r="D8" t="s">
        <v>97</v>
      </c>
      <c r="E8" s="17">
        <v>100</v>
      </c>
      <c r="F8" s="16" t="s">
        <v>70</v>
      </c>
      <c r="G8" s="16" t="str">
        <f t="shared" si="0"/>
        <v>Enero</v>
      </c>
    </row>
    <row r="9" spans="1:7" x14ac:dyDescent="0.25">
      <c r="A9" s="16" t="s">
        <v>9</v>
      </c>
      <c r="B9" s="24">
        <v>46036</v>
      </c>
      <c r="C9" s="16" t="s">
        <v>32</v>
      </c>
      <c r="D9" s="16" t="s">
        <v>98</v>
      </c>
      <c r="E9" s="17">
        <v>4.0199999999999996</v>
      </c>
      <c r="F9" s="16" t="s">
        <v>70</v>
      </c>
      <c r="G9" s="16" t="str">
        <f t="shared" si="0"/>
        <v>Enero</v>
      </c>
    </row>
    <row r="10" spans="1:7" x14ac:dyDescent="0.25">
      <c r="A10" s="16" t="s">
        <v>9</v>
      </c>
      <c r="B10" s="24">
        <v>46037</v>
      </c>
      <c r="C10" s="16" t="s">
        <v>32</v>
      </c>
      <c r="D10" s="16" t="s">
        <v>99</v>
      </c>
      <c r="E10" s="17">
        <v>39.9</v>
      </c>
      <c r="F10" s="16" t="s">
        <v>70</v>
      </c>
      <c r="G10" s="16" t="str">
        <f t="shared" si="0"/>
        <v>Enero</v>
      </c>
    </row>
    <row r="11" spans="1:7" x14ac:dyDescent="0.25">
      <c r="A11" s="16" t="s">
        <v>9</v>
      </c>
      <c r="B11" s="24">
        <v>46023</v>
      </c>
      <c r="C11" s="16" t="s">
        <v>32</v>
      </c>
      <c r="D11" s="16" t="s">
        <v>100</v>
      </c>
      <c r="E11" s="17">
        <v>8</v>
      </c>
      <c r="F11" s="16" t="s">
        <v>70</v>
      </c>
      <c r="G11" s="16" t="str">
        <f t="shared" si="0"/>
        <v>Enero</v>
      </c>
    </row>
    <row r="12" spans="1:7" x14ac:dyDescent="0.25">
      <c r="A12" s="16" t="s">
        <v>9</v>
      </c>
      <c r="B12" s="24">
        <v>46023</v>
      </c>
      <c r="C12" s="16" t="s">
        <v>32</v>
      </c>
      <c r="D12" s="16" t="s">
        <v>101</v>
      </c>
      <c r="E12" s="17">
        <v>20</v>
      </c>
      <c r="F12" s="16" t="s">
        <v>70</v>
      </c>
      <c r="G12" s="16" t="str">
        <f t="shared" si="0"/>
        <v>Enero</v>
      </c>
    </row>
    <row r="13" spans="1:7" x14ac:dyDescent="0.25">
      <c r="A13" s="16" t="s">
        <v>9</v>
      </c>
      <c r="B13" s="24">
        <v>46023</v>
      </c>
      <c r="C13" s="16" t="s">
        <v>32</v>
      </c>
      <c r="D13" s="16" t="s">
        <v>102</v>
      </c>
      <c r="E13" s="17">
        <v>267.56</v>
      </c>
      <c r="F13" s="16" t="s">
        <v>70</v>
      </c>
      <c r="G13" s="16" t="str">
        <f t="shared" si="0"/>
        <v>Enero</v>
      </c>
    </row>
    <row r="14" spans="1:7" x14ac:dyDescent="0.25">
      <c r="A14" s="16" t="s">
        <v>5</v>
      </c>
      <c r="B14" s="24">
        <v>46023</v>
      </c>
      <c r="C14" s="16" t="s">
        <v>103</v>
      </c>
      <c r="D14" s="16" t="s">
        <v>104</v>
      </c>
      <c r="E14" s="17">
        <v>379.4</v>
      </c>
      <c r="F14" s="16" t="s">
        <v>105</v>
      </c>
      <c r="G14" s="16" t="str">
        <f t="shared" si="0"/>
        <v>Enero</v>
      </c>
    </row>
    <row r="15" spans="1:7" x14ac:dyDescent="0.25">
      <c r="A15" s="16" t="s">
        <v>9</v>
      </c>
      <c r="B15" s="24">
        <v>46023</v>
      </c>
      <c r="C15" s="16" t="s">
        <v>33</v>
      </c>
      <c r="D15" t="s">
        <v>97</v>
      </c>
      <c r="E15" s="17">
        <v>36.5</v>
      </c>
      <c r="F15" s="16" t="s">
        <v>70</v>
      </c>
      <c r="G15" s="16" t="str">
        <f t="shared" si="0"/>
        <v>Enero</v>
      </c>
    </row>
    <row r="16" spans="1:7" x14ac:dyDescent="0.25">
      <c r="A16" s="16" t="s">
        <v>9</v>
      </c>
      <c r="B16" s="24">
        <v>46023</v>
      </c>
      <c r="C16" s="16" t="s">
        <v>33</v>
      </c>
      <c r="D16" s="16" t="s">
        <v>106</v>
      </c>
      <c r="E16" s="17">
        <v>14.1</v>
      </c>
      <c r="F16" s="16" t="s">
        <v>105</v>
      </c>
      <c r="G16" s="16" t="str">
        <f t="shared" si="0"/>
        <v>Enero</v>
      </c>
    </row>
    <row r="17" spans="1:7" x14ac:dyDescent="0.25">
      <c r="A17" s="16" t="s">
        <v>9</v>
      </c>
      <c r="B17" s="24">
        <v>46023</v>
      </c>
      <c r="C17" s="16" t="s">
        <v>33</v>
      </c>
      <c r="D17" s="16" t="s">
        <v>107</v>
      </c>
      <c r="E17" s="17">
        <v>34</v>
      </c>
      <c r="F17" s="16" t="s">
        <v>70</v>
      </c>
      <c r="G17" s="16" t="str">
        <f t="shared" si="0"/>
        <v>Enero</v>
      </c>
    </row>
    <row r="18" spans="1:7" x14ac:dyDescent="0.25">
      <c r="A18" s="16" t="s">
        <v>9</v>
      </c>
      <c r="B18" s="24">
        <v>46023</v>
      </c>
      <c r="C18" s="16" t="s">
        <v>33</v>
      </c>
      <c r="D18" s="16" t="s">
        <v>108</v>
      </c>
      <c r="E18" s="17">
        <v>36.5</v>
      </c>
      <c r="F18" s="16" t="s">
        <v>105</v>
      </c>
      <c r="G18" s="16" t="str">
        <f t="shared" si="0"/>
        <v>Enero</v>
      </c>
    </row>
    <row r="19" spans="1:7" x14ac:dyDescent="0.25">
      <c r="A19" s="16" t="s">
        <v>9</v>
      </c>
      <c r="B19" s="24">
        <v>46023</v>
      </c>
      <c r="C19" s="16" t="s">
        <v>33</v>
      </c>
      <c r="D19" s="16" t="s">
        <v>227</v>
      </c>
      <c r="E19" s="17">
        <v>2.7</v>
      </c>
      <c r="F19" s="16" t="s">
        <v>105</v>
      </c>
      <c r="G19" s="16" t="str">
        <f t="shared" si="0"/>
        <v>Enero</v>
      </c>
    </row>
    <row r="20" spans="1:7" x14ac:dyDescent="0.25">
      <c r="A20" s="16" t="s">
        <v>9</v>
      </c>
      <c r="B20" s="24">
        <v>46023</v>
      </c>
      <c r="C20" s="16" t="s">
        <v>33</v>
      </c>
      <c r="D20" s="16" t="s">
        <v>109</v>
      </c>
      <c r="E20" s="17">
        <v>15.9</v>
      </c>
      <c r="F20" s="16" t="s">
        <v>105</v>
      </c>
      <c r="G20" s="16" t="str">
        <f t="shared" si="0"/>
        <v>Enero</v>
      </c>
    </row>
    <row r="21" spans="1:7" x14ac:dyDescent="0.25">
      <c r="A21" s="16" t="s">
        <v>9</v>
      </c>
      <c r="B21" s="24">
        <v>46023</v>
      </c>
      <c r="C21" s="16" t="s">
        <v>33</v>
      </c>
      <c r="D21" s="16" t="s">
        <v>110</v>
      </c>
      <c r="E21" s="17">
        <v>5</v>
      </c>
      <c r="F21" s="16" t="s">
        <v>70</v>
      </c>
      <c r="G21" s="16" t="str">
        <f t="shared" si="0"/>
        <v>Enero</v>
      </c>
    </row>
    <row r="22" spans="1:7" x14ac:dyDescent="0.25">
      <c r="A22" s="16" t="s">
        <v>9</v>
      </c>
      <c r="B22" s="24">
        <v>46023</v>
      </c>
      <c r="C22" s="16" t="s">
        <v>33</v>
      </c>
      <c r="D22" s="16" t="s">
        <v>106</v>
      </c>
      <c r="E22" s="17">
        <v>5</v>
      </c>
      <c r="F22" s="16" t="s">
        <v>70</v>
      </c>
      <c r="G22" s="16" t="str">
        <f t="shared" si="0"/>
        <v>Enero</v>
      </c>
    </row>
    <row r="23" spans="1:7" x14ac:dyDescent="0.25">
      <c r="A23" s="16" t="s">
        <v>9</v>
      </c>
      <c r="B23" s="24">
        <v>46023</v>
      </c>
      <c r="C23" s="16" t="s">
        <v>33</v>
      </c>
      <c r="D23" s="16" t="s">
        <v>111</v>
      </c>
      <c r="E23" s="17">
        <v>550.46</v>
      </c>
      <c r="F23" s="16" t="s">
        <v>70</v>
      </c>
      <c r="G23" s="16" t="str">
        <f t="shared" si="0"/>
        <v>Enero</v>
      </c>
    </row>
    <row r="24" spans="1:7" x14ac:dyDescent="0.25">
      <c r="A24" s="16" t="s">
        <v>9</v>
      </c>
      <c r="B24" s="24">
        <v>46023</v>
      </c>
      <c r="C24" s="16" t="s">
        <v>33</v>
      </c>
      <c r="D24" s="16" t="s">
        <v>109</v>
      </c>
      <c r="E24" s="17">
        <v>10</v>
      </c>
      <c r="F24" s="16" t="s">
        <v>70</v>
      </c>
      <c r="G24" s="16" t="str">
        <f t="shared" si="0"/>
        <v>Enero</v>
      </c>
    </row>
    <row r="25" spans="1:7" x14ac:dyDescent="0.25">
      <c r="A25" s="16" t="s">
        <v>9</v>
      </c>
      <c r="B25" s="24">
        <v>46023</v>
      </c>
      <c r="C25" s="16" t="s">
        <v>33</v>
      </c>
      <c r="D25" s="16" t="s">
        <v>112</v>
      </c>
      <c r="E25" s="17">
        <v>20.8</v>
      </c>
      <c r="F25" s="16" t="s">
        <v>105</v>
      </c>
      <c r="G25" s="16" t="str">
        <f t="shared" si="0"/>
        <v>Enero</v>
      </c>
    </row>
    <row r="26" spans="1:7" x14ac:dyDescent="0.25">
      <c r="A26" s="16" t="s">
        <v>9</v>
      </c>
      <c r="B26" s="24">
        <v>46023</v>
      </c>
      <c r="C26" s="16" t="s">
        <v>33</v>
      </c>
      <c r="D26" t="s">
        <v>97</v>
      </c>
      <c r="E26" s="17">
        <v>5</v>
      </c>
      <c r="F26" s="16" t="s">
        <v>70</v>
      </c>
      <c r="G26" s="16" t="str">
        <f t="shared" si="0"/>
        <v>Enero</v>
      </c>
    </row>
    <row r="27" spans="1:7" x14ac:dyDescent="0.25">
      <c r="A27" s="16" t="s">
        <v>9</v>
      </c>
      <c r="B27" s="24">
        <v>46023</v>
      </c>
      <c r="C27" s="16" t="s">
        <v>32</v>
      </c>
      <c r="D27" s="16" t="s">
        <v>76</v>
      </c>
      <c r="E27" s="17">
        <v>11.9</v>
      </c>
      <c r="F27" s="16" t="s">
        <v>70</v>
      </c>
      <c r="G27" s="16" t="str">
        <f t="shared" si="0"/>
        <v>Enero</v>
      </c>
    </row>
    <row r="28" spans="1:7" x14ac:dyDescent="0.25">
      <c r="A28" s="16" t="s">
        <v>9</v>
      </c>
      <c r="B28" s="24">
        <v>46024</v>
      </c>
      <c r="C28" s="16" t="s">
        <v>33</v>
      </c>
      <c r="D28" s="16" t="s">
        <v>113</v>
      </c>
      <c r="E28" s="17">
        <v>59.4</v>
      </c>
      <c r="F28" s="16" t="s">
        <v>105</v>
      </c>
      <c r="G28" s="16" t="str">
        <f t="shared" si="0"/>
        <v>Enero</v>
      </c>
    </row>
    <row r="29" spans="1:7" x14ac:dyDescent="0.25">
      <c r="A29" s="16" t="s">
        <v>9</v>
      </c>
      <c r="B29" s="24">
        <v>46024</v>
      </c>
      <c r="C29" s="16" t="s">
        <v>33</v>
      </c>
      <c r="D29" s="16" t="s">
        <v>109</v>
      </c>
      <c r="E29" s="17">
        <v>10</v>
      </c>
      <c r="F29" s="16" t="s">
        <v>70</v>
      </c>
      <c r="G29" s="16" t="str">
        <f t="shared" si="0"/>
        <v>Enero</v>
      </c>
    </row>
    <row r="30" spans="1:7" x14ac:dyDescent="0.25">
      <c r="A30" s="16" t="s">
        <v>9</v>
      </c>
      <c r="B30" s="24">
        <v>46026</v>
      </c>
      <c r="C30" s="16" t="s">
        <v>33</v>
      </c>
      <c r="D30" s="16" t="s">
        <v>114</v>
      </c>
      <c r="E30" s="17">
        <v>100.5</v>
      </c>
      <c r="F30" s="16" t="s">
        <v>70</v>
      </c>
      <c r="G30" s="16" t="str">
        <f t="shared" si="0"/>
        <v>Enero</v>
      </c>
    </row>
    <row r="31" spans="1:7" x14ac:dyDescent="0.25">
      <c r="A31" s="16" t="s">
        <v>9</v>
      </c>
      <c r="B31" s="24">
        <v>46026</v>
      </c>
      <c r="C31" s="16" t="s">
        <v>33</v>
      </c>
      <c r="D31" s="16" t="s">
        <v>114</v>
      </c>
      <c r="E31" s="17">
        <v>20</v>
      </c>
      <c r="F31" s="16" t="s">
        <v>105</v>
      </c>
      <c r="G31" s="16" t="str">
        <f t="shared" si="0"/>
        <v>Enero</v>
      </c>
    </row>
    <row r="32" spans="1:7" x14ac:dyDescent="0.25">
      <c r="A32" s="16" t="s">
        <v>9</v>
      </c>
      <c r="B32" s="24">
        <v>46026</v>
      </c>
      <c r="C32" s="16" t="s">
        <v>33</v>
      </c>
      <c r="D32" s="16" t="s">
        <v>115</v>
      </c>
      <c r="E32" s="17">
        <v>110.8</v>
      </c>
      <c r="F32" s="16" t="s">
        <v>105</v>
      </c>
      <c r="G32" s="16" t="str">
        <f t="shared" si="0"/>
        <v>Enero</v>
      </c>
    </row>
    <row r="33" spans="1:7" x14ac:dyDescent="0.25">
      <c r="A33" s="16" t="s">
        <v>5</v>
      </c>
      <c r="B33" s="24">
        <v>46027</v>
      </c>
      <c r="C33" s="16" t="s">
        <v>43</v>
      </c>
      <c r="D33" s="16" t="s">
        <v>116</v>
      </c>
      <c r="E33" s="17">
        <v>60.1</v>
      </c>
      <c r="F33" s="16" t="s">
        <v>70</v>
      </c>
      <c r="G33" s="16" t="str">
        <f t="shared" si="0"/>
        <v>Enero</v>
      </c>
    </row>
    <row r="34" spans="1:7" x14ac:dyDescent="0.25">
      <c r="A34" s="16" t="s">
        <v>9</v>
      </c>
      <c r="B34" s="24">
        <v>46028</v>
      </c>
      <c r="C34" s="16" t="s">
        <v>33</v>
      </c>
      <c r="D34" s="16" t="s">
        <v>113</v>
      </c>
      <c r="E34" s="17">
        <v>5</v>
      </c>
      <c r="F34" s="16" t="s">
        <v>70</v>
      </c>
      <c r="G34" s="16" t="str">
        <f t="shared" si="0"/>
        <v>Enero</v>
      </c>
    </row>
    <row r="35" spans="1:7" x14ac:dyDescent="0.25">
      <c r="A35" s="16" t="s">
        <v>9</v>
      </c>
      <c r="B35" s="24">
        <v>46028</v>
      </c>
      <c r="C35" s="16" t="s">
        <v>33</v>
      </c>
      <c r="D35" s="16" t="s">
        <v>106</v>
      </c>
      <c r="E35" s="17">
        <v>18.600000000000001</v>
      </c>
      <c r="F35" s="16" t="s">
        <v>105</v>
      </c>
      <c r="G35" s="16" t="str">
        <f t="shared" si="0"/>
        <v>Enero</v>
      </c>
    </row>
    <row r="36" spans="1:7" x14ac:dyDescent="0.25">
      <c r="A36" s="16" t="s">
        <v>9</v>
      </c>
      <c r="B36" s="24">
        <v>46028</v>
      </c>
      <c r="C36" s="16" t="s">
        <v>33</v>
      </c>
      <c r="D36" s="16" t="s">
        <v>227</v>
      </c>
      <c r="E36" s="17">
        <v>6.39</v>
      </c>
      <c r="F36" s="16" t="s">
        <v>105</v>
      </c>
      <c r="G36" s="16" t="str">
        <f t="shared" si="0"/>
        <v>Enero</v>
      </c>
    </row>
    <row r="37" spans="1:7" x14ac:dyDescent="0.25">
      <c r="A37" s="16" t="s">
        <v>9</v>
      </c>
      <c r="B37" s="24">
        <v>46028</v>
      </c>
      <c r="C37" s="16" t="s">
        <v>33</v>
      </c>
      <c r="D37" s="16" t="s">
        <v>109</v>
      </c>
      <c r="E37" s="17">
        <v>12.2</v>
      </c>
      <c r="F37" s="16" t="s">
        <v>70</v>
      </c>
      <c r="G37" s="16" t="str">
        <f t="shared" si="0"/>
        <v>Enero</v>
      </c>
    </row>
    <row r="38" spans="1:7" x14ac:dyDescent="0.25">
      <c r="A38" s="16" t="s">
        <v>9</v>
      </c>
      <c r="B38" s="24">
        <v>46030</v>
      </c>
      <c r="C38" s="16" t="s">
        <v>33</v>
      </c>
      <c r="D38" s="16" t="s">
        <v>109</v>
      </c>
      <c r="E38" s="17">
        <v>20</v>
      </c>
      <c r="F38" s="16" t="s">
        <v>70</v>
      </c>
      <c r="G38" s="16" t="str">
        <f t="shared" si="0"/>
        <v>Enero</v>
      </c>
    </row>
    <row r="39" spans="1:7" x14ac:dyDescent="0.25">
      <c r="A39" s="16" t="s">
        <v>9</v>
      </c>
      <c r="B39" s="24">
        <v>46032</v>
      </c>
      <c r="C39" s="16" t="s">
        <v>32</v>
      </c>
      <c r="D39" s="16" t="s">
        <v>117</v>
      </c>
      <c r="E39" s="17">
        <v>15.71</v>
      </c>
      <c r="F39" s="16" t="s">
        <v>105</v>
      </c>
      <c r="G39" s="16" t="str">
        <f t="shared" si="0"/>
        <v>Enero</v>
      </c>
    </row>
    <row r="40" spans="1:7" x14ac:dyDescent="0.25">
      <c r="A40" s="16" t="s">
        <v>9</v>
      </c>
      <c r="B40" s="24">
        <v>46032</v>
      </c>
      <c r="C40" s="16" t="s">
        <v>33</v>
      </c>
      <c r="D40" s="16" t="s">
        <v>109</v>
      </c>
      <c r="E40" s="17">
        <v>10</v>
      </c>
      <c r="F40" s="16" t="s">
        <v>70</v>
      </c>
      <c r="G40" s="16" t="str">
        <f t="shared" si="0"/>
        <v>Enero</v>
      </c>
    </row>
    <row r="41" spans="1:7" x14ac:dyDescent="0.25">
      <c r="A41" s="16" t="s">
        <v>9</v>
      </c>
      <c r="B41" s="24">
        <v>46033</v>
      </c>
      <c r="C41" s="16" t="s">
        <v>33</v>
      </c>
      <c r="D41" s="16" t="s">
        <v>110</v>
      </c>
      <c r="E41" s="17">
        <v>10</v>
      </c>
      <c r="F41" s="16" t="s">
        <v>70</v>
      </c>
      <c r="G41" s="16" t="str">
        <f t="shared" si="0"/>
        <v>Enero</v>
      </c>
    </row>
    <row r="42" spans="1:7" x14ac:dyDescent="0.25">
      <c r="A42" s="16" t="s">
        <v>9</v>
      </c>
      <c r="B42" s="24">
        <v>46033</v>
      </c>
      <c r="C42" s="16" t="s">
        <v>33</v>
      </c>
      <c r="D42" s="16" t="s">
        <v>118</v>
      </c>
      <c r="E42" s="17">
        <v>10</v>
      </c>
      <c r="F42" s="16" t="s">
        <v>70</v>
      </c>
      <c r="G42" s="16" t="str">
        <f t="shared" si="0"/>
        <v>Enero</v>
      </c>
    </row>
    <row r="43" spans="1:7" x14ac:dyDescent="0.25">
      <c r="A43" s="16" t="s">
        <v>9</v>
      </c>
      <c r="B43" s="24">
        <v>46033</v>
      </c>
      <c r="C43" s="16" t="s">
        <v>33</v>
      </c>
      <c r="D43" s="16" t="s">
        <v>109</v>
      </c>
      <c r="E43" s="17">
        <v>19.09</v>
      </c>
      <c r="F43" s="16" t="s">
        <v>70</v>
      </c>
      <c r="G43" s="16" t="str">
        <f t="shared" si="0"/>
        <v>Enero</v>
      </c>
    </row>
    <row r="44" spans="1:7" x14ac:dyDescent="0.25">
      <c r="A44" s="16" t="s">
        <v>9</v>
      </c>
      <c r="B44" s="24">
        <v>46034</v>
      </c>
      <c r="C44" s="16" t="s">
        <v>33</v>
      </c>
      <c r="D44" s="16" t="s">
        <v>109</v>
      </c>
      <c r="E44" s="17">
        <v>10</v>
      </c>
      <c r="F44" s="16" t="s">
        <v>70</v>
      </c>
      <c r="G44" s="16" t="str">
        <f t="shared" si="0"/>
        <v>Enero</v>
      </c>
    </row>
    <row r="45" spans="1:7" x14ac:dyDescent="0.25">
      <c r="A45" s="16" t="s">
        <v>9</v>
      </c>
      <c r="B45" s="24">
        <v>46035</v>
      </c>
      <c r="C45" s="16" t="s">
        <v>33</v>
      </c>
      <c r="D45" s="16" t="s">
        <v>119</v>
      </c>
      <c r="E45" s="17">
        <v>90.9</v>
      </c>
      <c r="F45" s="16" t="s">
        <v>70</v>
      </c>
      <c r="G45" s="16" t="str">
        <f t="shared" si="0"/>
        <v>Enero</v>
      </c>
    </row>
    <row r="46" spans="1:7" x14ac:dyDescent="0.25">
      <c r="A46" s="16" t="s">
        <v>9</v>
      </c>
      <c r="B46" s="24">
        <v>46036</v>
      </c>
      <c r="C46" s="16" t="s">
        <v>33</v>
      </c>
      <c r="D46" s="16" t="s">
        <v>109</v>
      </c>
      <c r="E46" s="17">
        <v>9</v>
      </c>
      <c r="F46" s="16" t="s">
        <v>70</v>
      </c>
      <c r="G46" s="16" t="str">
        <f t="shared" si="0"/>
        <v>Enero</v>
      </c>
    </row>
    <row r="47" spans="1:7" x14ac:dyDescent="0.25">
      <c r="A47" s="16" t="s">
        <v>9</v>
      </c>
      <c r="B47" s="24">
        <v>46037</v>
      </c>
      <c r="C47" s="16" t="s">
        <v>63</v>
      </c>
      <c r="D47" s="16" t="s">
        <v>120</v>
      </c>
      <c r="E47" s="17">
        <v>60.36</v>
      </c>
      <c r="F47" s="16" t="s">
        <v>70</v>
      </c>
      <c r="G47" s="16" t="str">
        <f t="shared" si="0"/>
        <v>Enero</v>
      </c>
    </row>
    <row r="48" spans="1:7" x14ac:dyDescent="0.25">
      <c r="A48" s="16" t="s">
        <v>9</v>
      </c>
      <c r="B48" s="24">
        <v>46037</v>
      </c>
      <c r="C48" s="16" t="s">
        <v>33</v>
      </c>
      <c r="D48" s="16" t="s">
        <v>121</v>
      </c>
      <c r="E48" s="17">
        <v>10</v>
      </c>
      <c r="F48" s="16" t="s">
        <v>70</v>
      </c>
      <c r="G48" s="16" t="str">
        <f t="shared" si="0"/>
        <v>Enero</v>
      </c>
    </row>
    <row r="49" spans="1:7" x14ac:dyDescent="0.25">
      <c r="A49" s="16" t="s">
        <v>9</v>
      </c>
      <c r="B49" s="24">
        <v>46039</v>
      </c>
      <c r="C49" s="16" t="s">
        <v>33</v>
      </c>
      <c r="D49" s="16" t="s">
        <v>111</v>
      </c>
      <c r="E49" s="17">
        <v>86.5</v>
      </c>
      <c r="F49" s="16" t="s">
        <v>70</v>
      </c>
      <c r="G49" s="16" t="str">
        <f t="shared" si="0"/>
        <v>Enero</v>
      </c>
    </row>
    <row r="50" spans="1:7" x14ac:dyDescent="0.25">
      <c r="A50" s="16" t="s">
        <v>9</v>
      </c>
      <c r="B50" s="24">
        <v>46039</v>
      </c>
      <c r="C50" s="16" t="s">
        <v>33</v>
      </c>
      <c r="D50" s="16" t="s">
        <v>111</v>
      </c>
      <c r="E50" s="17">
        <v>32.299999999999997</v>
      </c>
      <c r="F50" s="16" t="s">
        <v>105</v>
      </c>
      <c r="G50" s="16" t="str">
        <f t="shared" si="0"/>
        <v>Enero</v>
      </c>
    </row>
    <row r="51" spans="1:7" x14ac:dyDescent="0.25">
      <c r="A51" s="16" t="s">
        <v>9</v>
      </c>
      <c r="B51" s="24">
        <v>46039</v>
      </c>
      <c r="C51" s="16" t="s">
        <v>33</v>
      </c>
      <c r="D51" s="16" t="s">
        <v>106</v>
      </c>
      <c r="E51" s="17">
        <v>2.5</v>
      </c>
      <c r="F51" s="16" t="s">
        <v>70</v>
      </c>
      <c r="G51" s="16" t="str">
        <f t="shared" si="0"/>
        <v>Enero</v>
      </c>
    </row>
    <row r="52" spans="1:7" x14ac:dyDescent="0.25">
      <c r="A52" s="16" t="s">
        <v>9</v>
      </c>
      <c r="B52" s="24">
        <v>46039</v>
      </c>
      <c r="C52" s="16" t="s">
        <v>33</v>
      </c>
      <c r="D52" t="s">
        <v>122</v>
      </c>
      <c r="E52" s="17">
        <v>18</v>
      </c>
      <c r="F52" s="16" t="s">
        <v>70</v>
      </c>
      <c r="G52" s="16" t="str">
        <f t="shared" si="0"/>
        <v>Enero</v>
      </c>
    </row>
    <row r="53" spans="1:7" x14ac:dyDescent="0.25">
      <c r="A53" s="16" t="s">
        <v>9</v>
      </c>
      <c r="B53" s="24">
        <v>46039</v>
      </c>
      <c r="C53" s="16" t="s">
        <v>33</v>
      </c>
      <c r="D53" s="16" t="s">
        <v>123</v>
      </c>
      <c r="E53" s="17">
        <v>71</v>
      </c>
      <c r="F53" s="16" t="s">
        <v>70</v>
      </c>
      <c r="G53" s="16" t="str">
        <f t="shared" si="0"/>
        <v>Enero</v>
      </c>
    </row>
    <row r="54" spans="1:7" x14ac:dyDescent="0.25">
      <c r="A54" s="16" t="s">
        <v>9</v>
      </c>
      <c r="B54" s="24">
        <v>46039</v>
      </c>
      <c r="C54" s="16" t="s">
        <v>33</v>
      </c>
      <c r="D54" s="16" t="s">
        <v>227</v>
      </c>
      <c r="E54" s="17">
        <v>7.09</v>
      </c>
      <c r="F54" s="16" t="s">
        <v>105</v>
      </c>
      <c r="G54" s="16" t="str">
        <f t="shared" si="0"/>
        <v>Enero</v>
      </c>
    </row>
    <row r="55" spans="1:7" x14ac:dyDescent="0.25">
      <c r="A55" s="16" t="s">
        <v>9</v>
      </c>
      <c r="B55" s="24">
        <v>46039</v>
      </c>
      <c r="C55" s="16" t="s">
        <v>33</v>
      </c>
      <c r="D55" s="16" t="s">
        <v>227</v>
      </c>
      <c r="E55" s="17">
        <v>3</v>
      </c>
      <c r="F55" s="16" t="s">
        <v>105</v>
      </c>
      <c r="G55" s="16" t="str">
        <f t="shared" si="0"/>
        <v>Enero</v>
      </c>
    </row>
    <row r="56" spans="1:7" x14ac:dyDescent="0.25">
      <c r="A56" s="16" t="s">
        <v>9</v>
      </c>
      <c r="B56" s="24">
        <v>46041</v>
      </c>
      <c r="C56" s="16" t="s">
        <v>33</v>
      </c>
      <c r="D56" s="16" t="s">
        <v>124</v>
      </c>
      <c r="E56" s="17">
        <v>12.36</v>
      </c>
      <c r="F56" s="16" t="s">
        <v>70</v>
      </c>
      <c r="G56" s="16" t="str">
        <f t="shared" si="0"/>
        <v>Enero</v>
      </c>
    </row>
    <row r="57" spans="1:7" x14ac:dyDescent="0.25">
      <c r="A57" s="16" t="s">
        <v>9</v>
      </c>
      <c r="B57" s="24">
        <v>46043</v>
      </c>
      <c r="C57" s="16" t="s">
        <v>33</v>
      </c>
      <c r="D57" s="16" t="s">
        <v>125</v>
      </c>
      <c r="E57" s="17">
        <v>55</v>
      </c>
      <c r="F57" s="16" t="s">
        <v>70</v>
      </c>
      <c r="G57" s="16" t="str">
        <f t="shared" si="0"/>
        <v>Enero</v>
      </c>
    </row>
    <row r="58" spans="1:7" x14ac:dyDescent="0.25">
      <c r="A58" s="16" t="s">
        <v>9</v>
      </c>
      <c r="B58" s="24">
        <v>46043</v>
      </c>
      <c r="C58" s="16" t="s">
        <v>33</v>
      </c>
      <c r="D58" s="16" t="s">
        <v>106</v>
      </c>
      <c r="E58" s="17">
        <v>6.25</v>
      </c>
      <c r="F58" s="16" t="s">
        <v>70</v>
      </c>
      <c r="G58" s="16" t="str">
        <f t="shared" si="0"/>
        <v>Enero</v>
      </c>
    </row>
    <row r="59" spans="1:7" x14ac:dyDescent="0.25">
      <c r="A59" s="16" t="s">
        <v>9</v>
      </c>
      <c r="B59" s="24">
        <v>46043</v>
      </c>
      <c r="C59" s="16" t="s">
        <v>33</v>
      </c>
      <c r="D59" s="16" t="s">
        <v>118</v>
      </c>
      <c r="E59" s="17">
        <v>9.19</v>
      </c>
      <c r="F59" s="16" t="s">
        <v>105</v>
      </c>
      <c r="G59" s="16" t="str">
        <f t="shared" si="0"/>
        <v>Enero</v>
      </c>
    </row>
    <row r="60" spans="1:7" x14ac:dyDescent="0.25">
      <c r="A60" s="16" t="s">
        <v>9</v>
      </c>
      <c r="B60" s="24">
        <v>46044</v>
      </c>
      <c r="C60" s="16" t="s">
        <v>33</v>
      </c>
      <c r="D60" s="16" t="s">
        <v>227</v>
      </c>
      <c r="E60" s="17">
        <v>2.29</v>
      </c>
      <c r="F60" s="16" t="s">
        <v>105</v>
      </c>
      <c r="G60" s="16" t="str">
        <f t="shared" si="0"/>
        <v>Enero</v>
      </c>
    </row>
    <row r="61" spans="1:7" x14ac:dyDescent="0.25">
      <c r="A61" s="16" t="s">
        <v>9</v>
      </c>
      <c r="B61" s="24">
        <v>46044</v>
      </c>
      <c r="C61" s="16" t="s">
        <v>33</v>
      </c>
      <c r="D61" s="16" t="s">
        <v>106</v>
      </c>
      <c r="E61" s="17">
        <v>5.5</v>
      </c>
      <c r="F61" s="16" t="s">
        <v>70</v>
      </c>
      <c r="G61" s="16" t="str">
        <f t="shared" si="0"/>
        <v>Enero</v>
      </c>
    </row>
    <row r="62" spans="1:7" x14ac:dyDescent="0.25">
      <c r="A62" s="16" t="s">
        <v>9</v>
      </c>
      <c r="B62" s="24">
        <v>46044</v>
      </c>
      <c r="C62" s="16" t="s">
        <v>33</v>
      </c>
      <c r="D62" s="16" t="s">
        <v>106</v>
      </c>
      <c r="E62" s="17">
        <v>5.5</v>
      </c>
      <c r="F62" s="16" t="s">
        <v>70</v>
      </c>
      <c r="G62" s="16" t="str">
        <f t="shared" si="0"/>
        <v>Enero</v>
      </c>
    </row>
    <row r="63" spans="1:7" x14ac:dyDescent="0.25">
      <c r="A63" s="16" t="s">
        <v>9</v>
      </c>
      <c r="B63" s="24">
        <v>46044</v>
      </c>
      <c r="C63" s="16" t="s">
        <v>33</v>
      </c>
      <c r="D63" s="16" t="s">
        <v>124</v>
      </c>
      <c r="E63" s="17">
        <v>10</v>
      </c>
      <c r="F63" s="16" t="s">
        <v>70</v>
      </c>
      <c r="G63" s="16" t="str">
        <f t="shared" si="0"/>
        <v>Enero</v>
      </c>
    </row>
    <row r="64" spans="1:7" x14ac:dyDescent="0.25">
      <c r="A64" s="16" t="s">
        <v>9</v>
      </c>
      <c r="B64" s="24">
        <v>46045</v>
      </c>
      <c r="C64" s="16" t="s">
        <v>33</v>
      </c>
      <c r="D64" s="16" t="s">
        <v>124</v>
      </c>
      <c r="E64" s="17">
        <v>9.4</v>
      </c>
      <c r="F64" s="16" t="s">
        <v>70</v>
      </c>
      <c r="G64" s="16" t="str">
        <f t="shared" si="0"/>
        <v>Enero</v>
      </c>
    </row>
    <row r="65" spans="1:7" x14ac:dyDescent="0.25">
      <c r="A65" s="16" t="s">
        <v>9</v>
      </c>
      <c r="B65" s="24">
        <v>46045</v>
      </c>
      <c r="C65" s="16" t="s">
        <v>33</v>
      </c>
      <c r="D65" s="16" t="s">
        <v>109</v>
      </c>
      <c r="E65" s="17">
        <v>9</v>
      </c>
      <c r="F65" s="16" t="s">
        <v>70</v>
      </c>
      <c r="G65" s="16" t="str">
        <f t="shared" si="0"/>
        <v>Enero</v>
      </c>
    </row>
    <row r="66" spans="1:7" x14ac:dyDescent="0.25">
      <c r="A66" s="16" t="s">
        <v>9</v>
      </c>
      <c r="B66" s="24">
        <v>46047</v>
      </c>
      <c r="C66" s="16" t="s">
        <v>33</v>
      </c>
      <c r="D66" s="16" t="s">
        <v>126</v>
      </c>
      <c r="E66" s="17">
        <v>12.5</v>
      </c>
      <c r="F66" s="16" t="s">
        <v>70</v>
      </c>
      <c r="G66" s="16" t="str">
        <f t="shared" ref="G66:G129" si="1">TEXT(B66,"MMMM")</f>
        <v>Enero</v>
      </c>
    </row>
    <row r="67" spans="1:7" x14ac:dyDescent="0.25">
      <c r="A67" s="16" t="s">
        <v>5</v>
      </c>
      <c r="B67" s="24">
        <v>46054</v>
      </c>
      <c r="C67" s="16" t="s">
        <v>43</v>
      </c>
      <c r="D67" s="16" t="s">
        <v>92</v>
      </c>
      <c r="E67" s="17">
        <v>46.9</v>
      </c>
      <c r="F67" s="16" t="s">
        <v>70</v>
      </c>
      <c r="G67" s="16" t="str">
        <f t="shared" si="1"/>
        <v>Febrero</v>
      </c>
    </row>
    <row r="68" spans="1:7" x14ac:dyDescent="0.25">
      <c r="A68" s="16" t="s">
        <v>5</v>
      </c>
      <c r="B68" s="24">
        <v>46054</v>
      </c>
      <c r="C68" s="16" t="s">
        <v>6</v>
      </c>
      <c r="D68" s="16" t="s">
        <v>6</v>
      </c>
      <c r="E68" s="17">
        <v>2073.06</v>
      </c>
      <c r="F68" s="16" t="s">
        <v>70</v>
      </c>
      <c r="G68" s="16" t="str">
        <f t="shared" si="1"/>
        <v>Febrero</v>
      </c>
    </row>
    <row r="69" spans="1:7" x14ac:dyDescent="0.25">
      <c r="A69" s="16" t="s">
        <v>9</v>
      </c>
      <c r="B69" s="24">
        <v>46054</v>
      </c>
      <c r="C69" s="16" t="s">
        <v>32</v>
      </c>
      <c r="D69" s="16" t="s">
        <v>102</v>
      </c>
      <c r="E69" s="17">
        <v>481</v>
      </c>
      <c r="F69" s="16" t="s">
        <v>70</v>
      </c>
      <c r="G69" s="16" t="str">
        <f t="shared" si="1"/>
        <v>Febrero</v>
      </c>
    </row>
    <row r="70" spans="1:7" x14ac:dyDescent="0.25">
      <c r="A70" s="16" t="s">
        <v>5</v>
      </c>
      <c r="B70" s="24">
        <v>46054</v>
      </c>
      <c r="C70" s="16" t="s">
        <v>103</v>
      </c>
      <c r="D70" s="16" t="s">
        <v>104</v>
      </c>
      <c r="E70" s="17">
        <v>500</v>
      </c>
      <c r="F70" s="16" t="s">
        <v>105</v>
      </c>
      <c r="G70" s="16" t="str">
        <f t="shared" si="1"/>
        <v>Febrero</v>
      </c>
    </row>
    <row r="71" spans="1:7" x14ac:dyDescent="0.25">
      <c r="A71" s="16" t="s">
        <v>9</v>
      </c>
      <c r="B71" s="24">
        <v>46054</v>
      </c>
      <c r="C71" s="16" t="s">
        <v>32</v>
      </c>
      <c r="D71" s="16" t="s">
        <v>93</v>
      </c>
      <c r="E71" s="17">
        <v>79</v>
      </c>
      <c r="F71" s="16" t="s">
        <v>105</v>
      </c>
      <c r="G71" s="16" t="str">
        <f t="shared" si="1"/>
        <v>Febrero</v>
      </c>
    </row>
    <row r="72" spans="1:7" x14ac:dyDescent="0.25">
      <c r="A72" s="16" t="s">
        <v>9</v>
      </c>
      <c r="B72" s="24">
        <v>46054</v>
      </c>
      <c r="C72" s="16" t="s">
        <v>32</v>
      </c>
      <c r="D72" s="16" t="s">
        <v>94</v>
      </c>
      <c r="E72" s="17">
        <v>134.5</v>
      </c>
      <c r="F72" s="16" t="s">
        <v>105</v>
      </c>
      <c r="G72" s="16" t="str">
        <f t="shared" si="1"/>
        <v>Febrero</v>
      </c>
    </row>
    <row r="73" spans="1:7" x14ac:dyDescent="0.25">
      <c r="A73" s="16" t="s">
        <v>9</v>
      </c>
      <c r="B73" s="24">
        <v>46054</v>
      </c>
      <c r="C73" s="16" t="s">
        <v>32</v>
      </c>
      <c r="D73" s="16" t="s">
        <v>95</v>
      </c>
      <c r="E73" s="17">
        <v>19.100000000000001</v>
      </c>
      <c r="F73" s="16" t="s">
        <v>105</v>
      </c>
      <c r="G73" s="16" t="str">
        <f t="shared" si="1"/>
        <v>Febrero</v>
      </c>
    </row>
    <row r="74" spans="1:7" x14ac:dyDescent="0.25">
      <c r="A74" s="16" t="s">
        <v>9</v>
      </c>
      <c r="B74" s="24">
        <v>46068</v>
      </c>
      <c r="C74" s="16" t="s">
        <v>32</v>
      </c>
      <c r="D74" s="16" t="s">
        <v>99</v>
      </c>
      <c r="E74" s="17">
        <v>39.9</v>
      </c>
      <c r="F74" s="16" t="s">
        <v>70</v>
      </c>
      <c r="G74" s="16" t="str">
        <f t="shared" si="1"/>
        <v>Febrero</v>
      </c>
    </row>
    <row r="75" spans="1:7" x14ac:dyDescent="0.25">
      <c r="A75" s="16" t="s">
        <v>9</v>
      </c>
      <c r="B75" s="24">
        <v>46054</v>
      </c>
      <c r="C75" s="16" t="s">
        <v>32</v>
      </c>
      <c r="D75" s="16" t="s">
        <v>101</v>
      </c>
      <c r="E75" s="17">
        <v>20</v>
      </c>
      <c r="F75" s="16" t="s">
        <v>70</v>
      </c>
      <c r="G75" s="16" t="str">
        <f t="shared" si="1"/>
        <v>Febrero</v>
      </c>
    </row>
    <row r="76" spans="1:7" x14ac:dyDescent="0.25">
      <c r="A76" s="16" t="s">
        <v>9</v>
      </c>
      <c r="B76" s="24">
        <v>46054</v>
      </c>
      <c r="C76" s="16" t="s">
        <v>32</v>
      </c>
      <c r="D76" s="16" t="s">
        <v>96</v>
      </c>
      <c r="E76" s="17">
        <v>107.3</v>
      </c>
      <c r="F76" s="16" t="s">
        <v>70</v>
      </c>
      <c r="G76" s="16" t="str">
        <f t="shared" si="1"/>
        <v>Febrero</v>
      </c>
    </row>
    <row r="77" spans="1:7" x14ac:dyDescent="0.25">
      <c r="A77" s="16" t="s">
        <v>9</v>
      </c>
      <c r="B77" s="24">
        <v>46054</v>
      </c>
      <c r="C77" s="16" t="s">
        <v>42</v>
      </c>
      <c r="D77" s="16" t="s">
        <v>127</v>
      </c>
      <c r="E77" s="17">
        <v>600</v>
      </c>
      <c r="F77" s="16" t="s">
        <v>70</v>
      </c>
      <c r="G77" s="16" t="str">
        <f t="shared" si="1"/>
        <v>Febrero</v>
      </c>
    </row>
    <row r="78" spans="1:7" x14ac:dyDescent="0.25">
      <c r="A78" s="16" t="s">
        <v>9</v>
      </c>
      <c r="B78" s="24">
        <v>46054</v>
      </c>
      <c r="C78" s="16" t="s">
        <v>33</v>
      </c>
      <c r="D78" s="16" t="s">
        <v>128</v>
      </c>
      <c r="E78" s="17">
        <v>4.9000000000000004</v>
      </c>
      <c r="F78" s="16" t="s">
        <v>70</v>
      </c>
      <c r="G78" s="16" t="str">
        <f t="shared" si="1"/>
        <v>Febrero</v>
      </c>
    </row>
    <row r="79" spans="1:7" x14ac:dyDescent="0.25">
      <c r="A79" s="16" t="s">
        <v>9</v>
      </c>
      <c r="B79" s="24">
        <v>46054</v>
      </c>
      <c r="C79" s="16" t="s">
        <v>33</v>
      </c>
      <c r="D79" s="16" t="s">
        <v>109</v>
      </c>
      <c r="E79" s="17">
        <v>19.5</v>
      </c>
      <c r="F79" s="16" t="s">
        <v>70</v>
      </c>
      <c r="G79" s="16" t="str">
        <f t="shared" si="1"/>
        <v>Febrero</v>
      </c>
    </row>
    <row r="80" spans="1:7" x14ac:dyDescent="0.25">
      <c r="A80" s="16" t="s">
        <v>9</v>
      </c>
      <c r="B80" s="24">
        <v>46054</v>
      </c>
      <c r="C80" s="16" t="s">
        <v>33</v>
      </c>
      <c r="D80" s="16" t="s">
        <v>126</v>
      </c>
      <c r="E80" s="17">
        <v>14</v>
      </c>
      <c r="F80" s="16" t="s">
        <v>70</v>
      </c>
      <c r="G80" s="16" t="str">
        <f t="shared" si="1"/>
        <v>Febrero</v>
      </c>
    </row>
    <row r="81" spans="1:7" x14ac:dyDescent="0.25">
      <c r="A81" s="16" t="s">
        <v>9</v>
      </c>
      <c r="B81" s="24">
        <v>46054</v>
      </c>
      <c r="C81" s="16" t="s">
        <v>33</v>
      </c>
      <c r="D81" s="16" t="s">
        <v>129</v>
      </c>
      <c r="E81" s="17">
        <v>1.5</v>
      </c>
      <c r="F81" s="16" t="s">
        <v>70</v>
      </c>
      <c r="G81" s="16" t="str">
        <f t="shared" si="1"/>
        <v>Febrero</v>
      </c>
    </row>
    <row r="82" spans="1:7" x14ac:dyDescent="0.25">
      <c r="A82" s="16" t="s">
        <v>9</v>
      </c>
      <c r="B82" s="24">
        <v>46054</v>
      </c>
      <c r="C82" s="16" t="s">
        <v>33</v>
      </c>
      <c r="D82" t="s">
        <v>97</v>
      </c>
      <c r="E82" s="17">
        <v>7</v>
      </c>
      <c r="F82" s="16" t="s">
        <v>70</v>
      </c>
      <c r="G82" s="16" t="str">
        <f t="shared" si="1"/>
        <v>Febrero</v>
      </c>
    </row>
    <row r="83" spans="1:7" x14ac:dyDescent="0.25">
      <c r="A83" s="16" t="s">
        <v>9</v>
      </c>
      <c r="B83" s="24">
        <v>46054</v>
      </c>
      <c r="C83" s="16" t="s">
        <v>42</v>
      </c>
      <c r="D83" s="16" t="s">
        <v>130</v>
      </c>
      <c r="E83" s="17">
        <v>120.9</v>
      </c>
      <c r="F83" s="16" t="s">
        <v>70</v>
      </c>
      <c r="G83" s="16" t="str">
        <f t="shared" si="1"/>
        <v>Febrero</v>
      </c>
    </row>
    <row r="84" spans="1:7" x14ac:dyDescent="0.25">
      <c r="A84" s="16" t="s">
        <v>9</v>
      </c>
      <c r="B84" s="24">
        <v>46054</v>
      </c>
      <c r="C84" s="16" t="s">
        <v>33</v>
      </c>
      <c r="D84" s="16" t="s">
        <v>109</v>
      </c>
      <c r="E84" s="17">
        <v>20</v>
      </c>
      <c r="F84" s="16" t="s">
        <v>70</v>
      </c>
      <c r="G84" s="16" t="str">
        <f t="shared" si="1"/>
        <v>Febrero</v>
      </c>
    </row>
    <row r="85" spans="1:7" x14ac:dyDescent="0.25">
      <c r="A85" s="16" t="s">
        <v>9</v>
      </c>
      <c r="B85" s="24">
        <v>46054</v>
      </c>
      <c r="C85" s="16" t="s">
        <v>33</v>
      </c>
      <c r="D85" t="s">
        <v>97</v>
      </c>
      <c r="E85" s="17">
        <v>11</v>
      </c>
      <c r="F85" s="16" t="s">
        <v>70</v>
      </c>
      <c r="G85" s="16" t="str">
        <f t="shared" si="1"/>
        <v>Febrero</v>
      </c>
    </row>
    <row r="86" spans="1:7" x14ac:dyDescent="0.25">
      <c r="A86" s="16" t="s">
        <v>9</v>
      </c>
      <c r="B86" s="24">
        <v>46054</v>
      </c>
      <c r="C86" s="16" t="s">
        <v>33</v>
      </c>
      <c r="D86" s="16" t="s">
        <v>109</v>
      </c>
      <c r="E86" s="17">
        <v>10</v>
      </c>
      <c r="F86" s="16" t="s">
        <v>70</v>
      </c>
      <c r="G86" s="16" t="str">
        <f t="shared" si="1"/>
        <v>Febrero</v>
      </c>
    </row>
    <row r="87" spans="1:7" x14ac:dyDescent="0.25">
      <c r="A87" s="16" t="s">
        <v>9</v>
      </c>
      <c r="B87" s="24">
        <v>46054</v>
      </c>
      <c r="C87" s="16" t="s">
        <v>33</v>
      </c>
      <c r="D87" s="16" t="s">
        <v>129</v>
      </c>
      <c r="E87" s="17">
        <v>3.3</v>
      </c>
      <c r="F87" s="16" t="s">
        <v>70</v>
      </c>
      <c r="G87" s="16" t="str">
        <f t="shared" si="1"/>
        <v>Febrero</v>
      </c>
    </row>
    <row r="88" spans="1:7" x14ac:dyDescent="0.25">
      <c r="A88" s="16" t="s">
        <v>9</v>
      </c>
      <c r="B88" s="24">
        <v>46054</v>
      </c>
      <c r="C88" s="16" t="s">
        <v>33</v>
      </c>
      <c r="D88" s="16" t="s">
        <v>106</v>
      </c>
      <c r="E88" s="17">
        <v>3</v>
      </c>
      <c r="F88" s="16" t="s">
        <v>70</v>
      </c>
      <c r="G88" s="16" t="str">
        <f t="shared" si="1"/>
        <v>Febrero</v>
      </c>
    </row>
    <row r="89" spans="1:7" x14ac:dyDescent="0.25">
      <c r="A89" s="16" t="s">
        <v>9</v>
      </c>
      <c r="B89" s="24">
        <v>46054</v>
      </c>
      <c r="C89" s="16" t="s">
        <v>33</v>
      </c>
      <c r="D89" s="16" t="s">
        <v>131</v>
      </c>
      <c r="E89" s="17">
        <v>10.3</v>
      </c>
      <c r="F89" s="16" t="s">
        <v>105</v>
      </c>
      <c r="G89" s="16" t="str">
        <f t="shared" si="1"/>
        <v>Febrero</v>
      </c>
    </row>
    <row r="90" spans="1:7" x14ac:dyDescent="0.25">
      <c r="A90" s="16" t="s">
        <v>9</v>
      </c>
      <c r="B90" s="24">
        <v>46054</v>
      </c>
      <c r="C90" s="16" t="s">
        <v>42</v>
      </c>
      <c r="D90" s="16" t="s">
        <v>132</v>
      </c>
      <c r="E90" s="17">
        <v>30</v>
      </c>
      <c r="F90" s="16" t="s">
        <v>70</v>
      </c>
      <c r="G90" s="16" t="str">
        <f t="shared" si="1"/>
        <v>Febrero</v>
      </c>
    </row>
    <row r="91" spans="1:7" x14ac:dyDescent="0.25">
      <c r="A91" s="16" t="s">
        <v>9</v>
      </c>
      <c r="B91" s="24">
        <v>46054</v>
      </c>
      <c r="C91" s="16" t="s">
        <v>33</v>
      </c>
      <c r="D91" s="16" t="s">
        <v>106</v>
      </c>
      <c r="E91" s="17">
        <v>3</v>
      </c>
      <c r="F91" s="16" t="s">
        <v>70</v>
      </c>
      <c r="G91" s="16" t="str">
        <f t="shared" si="1"/>
        <v>Febrero</v>
      </c>
    </row>
    <row r="92" spans="1:7" x14ac:dyDescent="0.25">
      <c r="A92" s="16" t="s">
        <v>9</v>
      </c>
      <c r="B92" s="24">
        <v>46054</v>
      </c>
      <c r="C92" s="16" t="s">
        <v>33</v>
      </c>
      <c r="D92" s="16" t="s">
        <v>225</v>
      </c>
      <c r="E92" s="17">
        <v>2.69</v>
      </c>
      <c r="F92" s="16" t="s">
        <v>105</v>
      </c>
      <c r="G92" s="16" t="str">
        <f t="shared" si="1"/>
        <v>Febrero</v>
      </c>
    </row>
    <row r="93" spans="1:7" x14ac:dyDescent="0.25">
      <c r="A93" s="16" t="s">
        <v>9</v>
      </c>
      <c r="B93" s="24">
        <v>46054</v>
      </c>
      <c r="C93" s="16" t="s">
        <v>33</v>
      </c>
      <c r="D93" s="16" t="s">
        <v>227</v>
      </c>
      <c r="E93" s="17">
        <v>9</v>
      </c>
      <c r="F93" s="16" t="s">
        <v>70</v>
      </c>
      <c r="G93" s="16" t="str">
        <f t="shared" si="1"/>
        <v>Febrero</v>
      </c>
    </row>
    <row r="94" spans="1:7" x14ac:dyDescent="0.25">
      <c r="A94" s="16" t="s">
        <v>9</v>
      </c>
      <c r="B94" s="24">
        <v>46054</v>
      </c>
      <c r="C94" s="16" t="s">
        <v>33</v>
      </c>
      <c r="D94" s="16" t="s">
        <v>133</v>
      </c>
      <c r="E94" s="17">
        <v>22</v>
      </c>
      <c r="F94" s="16" t="s">
        <v>70</v>
      </c>
      <c r="G94" s="16" t="str">
        <f t="shared" si="1"/>
        <v>Febrero</v>
      </c>
    </row>
    <row r="95" spans="1:7" x14ac:dyDescent="0.25">
      <c r="A95" s="16" t="s">
        <v>9</v>
      </c>
      <c r="B95" s="24">
        <v>46054</v>
      </c>
      <c r="C95" s="16" t="s">
        <v>33</v>
      </c>
      <c r="D95" s="16" t="s">
        <v>108</v>
      </c>
      <c r="E95" s="17">
        <v>59.3</v>
      </c>
      <c r="F95" s="16" t="s">
        <v>105</v>
      </c>
      <c r="G95" s="16" t="str">
        <f t="shared" si="1"/>
        <v>Febrero</v>
      </c>
    </row>
    <row r="96" spans="1:7" x14ac:dyDescent="0.25">
      <c r="A96" s="16" t="s">
        <v>9</v>
      </c>
      <c r="B96" s="24">
        <v>46054</v>
      </c>
      <c r="C96" s="16" t="s">
        <v>33</v>
      </c>
      <c r="D96" s="16" t="s">
        <v>134</v>
      </c>
      <c r="E96" s="17">
        <v>5</v>
      </c>
      <c r="F96" s="16" t="s">
        <v>70</v>
      </c>
      <c r="G96" s="16" t="str">
        <f t="shared" si="1"/>
        <v>Febrero</v>
      </c>
    </row>
    <row r="97" spans="1:7" x14ac:dyDescent="0.25">
      <c r="A97" s="16" t="s">
        <v>9</v>
      </c>
      <c r="B97" s="24">
        <v>46054</v>
      </c>
      <c r="C97" s="16" t="s">
        <v>33</v>
      </c>
      <c r="D97" s="16" t="s">
        <v>227</v>
      </c>
      <c r="E97" s="17">
        <v>3.5</v>
      </c>
      <c r="F97" s="16" t="s">
        <v>105</v>
      </c>
      <c r="G97" s="16" t="str">
        <f t="shared" si="1"/>
        <v>Febrero</v>
      </c>
    </row>
    <row r="98" spans="1:7" x14ac:dyDescent="0.25">
      <c r="A98" s="16" t="s">
        <v>9</v>
      </c>
      <c r="B98" s="24">
        <v>46054</v>
      </c>
      <c r="C98" s="16" t="s">
        <v>32</v>
      </c>
      <c r="D98" s="16" t="s">
        <v>76</v>
      </c>
      <c r="E98" s="17">
        <v>11.9</v>
      </c>
      <c r="F98" s="16" t="s">
        <v>70</v>
      </c>
      <c r="G98" s="16" t="str">
        <f t="shared" si="1"/>
        <v>Febrero</v>
      </c>
    </row>
    <row r="99" spans="1:7" x14ac:dyDescent="0.25">
      <c r="A99" s="16" t="s">
        <v>9</v>
      </c>
      <c r="B99" s="24">
        <v>46054</v>
      </c>
      <c r="C99" s="16" t="s">
        <v>33</v>
      </c>
      <c r="D99" s="16" t="s">
        <v>109</v>
      </c>
      <c r="E99" s="17">
        <v>51</v>
      </c>
      <c r="F99" s="16" t="s">
        <v>70</v>
      </c>
      <c r="G99" s="16" t="str">
        <f t="shared" si="1"/>
        <v>Febrero</v>
      </c>
    </row>
    <row r="100" spans="1:7" x14ac:dyDescent="0.25">
      <c r="A100" s="16" t="s">
        <v>9</v>
      </c>
      <c r="B100" s="24">
        <v>46055</v>
      </c>
      <c r="C100" s="16" t="s">
        <v>33</v>
      </c>
      <c r="D100" s="16" t="s">
        <v>126</v>
      </c>
      <c r="E100" s="17">
        <v>9.5</v>
      </c>
      <c r="F100" s="16" t="s">
        <v>70</v>
      </c>
      <c r="G100" s="16" t="str">
        <f t="shared" si="1"/>
        <v>Febrero</v>
      </c>
    </row>
    <row r="101" spans="1:7" x14ac:dyDescent="0.25">
      <c r="A101" s="16" t="s">
        <v>9</v>
      </c>
      <c r="B101" s="24">
        <v>46055</v>
      </c>
      <c r="C101" s="16" t="s">
        <v>33</v>
      </c>
      <c r="D101" s="16" t="s">
        <v>128</v>
      </c>
      <c r="E101" s="17">
        <v>4.9000000000000004</v>
      </c>
      <c r="F101" s="16" t="s">
        <v>105</v>
      </c>
      <c r="G101" s="16" t="str">
        <f t="shared" si="1"/>
        <v>Febrero</v>
      </c>
    </row>
    <row r="102" spans="1:7" x14ac:dyDescent="0.25">
      <c r="A102" s="16" t="s">
        <v>9</v>
      </c>
      <c r="B102" s="24">
        <v>46055</v>
      </c>
      <c r="C102" s="16" t="s">
        <v>33</v>
      </c>
      <c r="D102" s="16" t="s">
        <v>109</v>
      </c>
      <c r="E102" s="17">
        <v>10</v>
      </c>
      <c r="F102" s="16" t="s">
        <v>70</v>
      </c>
      <c r="G102" s="16" t="str">
        <f t="shared" si="1"/>
        <v>Febrero</v>
      </c>
    </row>
    <row r="103" spans="1:7" x14ac:dyDescent="0.25">
      <c r="A103" s="16" t="s">
        <v>9</v>
      </c>
      <c r="B103" s="24">
        <v>46057</v>
      </c>
      <c r="C103" s="16" t="s">
        <v>33</v>
      </c>
      <c r="D103" s="16" t="s">
        <v>226</v>
      </c>
      <c r="E103" s="17">
        <v>17.899999999999999</v>
      </c>
      <c r="F103" s="16" t="s">
        <v>105</v>
      </c>
      <c r="G103" s="16" t="str">
        <f t="shared" si="1"/>
        <v>Febrero</v>
      </c>
    </row>
    <row r="104" spans="1:7" x14ac:dyDescent="0.25">
      <c r="A104" s="16" t="s">
        <v>9</v>
      </c>
      <c r="B104" s="24">
        <v>46057</v>
      </c>
      <c r="C104" s="16" t="s">
        <v>33</v>
      </c>
      <c r="D104" s="16" t="s">
        <v>129</v>
      </c>
      <c r="E104" s="17">
        <v>7.9</v>
      </c>
      <c r="F104" s="16" t="s">
        <v>105</v>
      </c>
      <c r="G104" s="16" t="str">
        <f t="shared" si="1"/>
        <v>Febrero</v>
      </c>
    </row>
    <row r="105" spans="1:7" x14ac:dyDescent="0.25">
      <c r="A105" s="16" t="s">
        <v>9</v>
      </c>
      <c r="B105" s="24">
        <v>46057</v>
      </c>
      <c r="C105" s="16" t="s">
        <v>33</v>
      </c>
      <c r="D105" t="s">
        <v>97</v>
      </c>
      <c r="E105" s="17">
        <v>13.65</v>
      </c>
      <c r="F105" s="16" t="s">
        <v>105</v>
      </c>
      <c r="G105" s="16" t="str">
        <f t="shared" si="1"/>
        <v>Febrero</v>
      </c>
    </row>
    <row r="106" spans="1:7" x14ac:dyDescent="0.25">
      <c r="A106" s="16" t="s">
        <v>9</v>
      </c>
      <c r="B106" s="24">
        <v>46057</v>
      </c>
      <c r="C106" s="16" t="s">
        <v>33</v>
      </c>
      <c r="D106" s="16" t="s">
        <v>135</v>
      </c>
      <c r="E106" s="17">
        <v>103.09</v>
      </c>
      <c r="F106" s="16" t="s">
        <v>105</v>
      </c>
      <c r="G106" s="16" t="str">
        <f t="shared" si="1"/>
        <v>Febrero</v>
      </c>
    </row>
    <row r="107" spans="1:7" x14ac:dyDescent="0.25">
      <c r="A107" s="16" t="s">
        <v>9</v>
      </c>
      <c r="B107" s="24">
        <v>46058</v>
      </c>
      <c r="C107" s="16" t="s">
        <v>33</v>
      </c>
      <c r="D107" s="16" t="s">
        <v>126</v>
      </c>
      <c r="E107" s="17">
        <v>49.32</v>
      </c>
      <c r="F107" s="16" t="s">
        <v>70</v>
      </c>
      <c r="G107" s="16" t="str">
        <f t="shared" si="1"/>
        <v>Febrero</v>
      </c>
    </row>
    <row r="108" spans="1:7" x14ac:dyDescent="0.25">
      <c r="A108" s="16" t="s">
        <v>9</v>
      </c>
      <c r="B108" s="24">
        <v>46059</v>
      </c>
      <c r="C108" s="16" t="s">
        <v>33</v>
      </c>
      <c r="D108" s="16" t="s">
        <v>124</v>
      </c>
      <c r="E108" s="17">
        <f>12.7+0.36</f>
        <v>13.059999999999999</v>
      </c>
      <c r="F108" s="16" t="s">
        <v>70</v>
      </c>
      <c r="G108" s="16" t="str">
        <f t="shared" si="1"/>
        <v>Febrero</v>
      </c>
    </row>
    <row r="109" spans="1:7" x14ac:dyDescent="0.25">
      <c r="A109" s="16" t="s">
        <v>9</v>
      </c>
      <c r="B109" s="24">
        <v>46059</v>
      </c>
      <c r="C109" s="16" t="s">
        <v>32</v>
      </c>
      <c r="D109" s="16" t="s">
        <v>117</v>
      </c>
      <c r="E109" s="17">
        <v>3.31</v>
      </c>
      <c r="F109" s="16" t="s">
        <v>105</v>
      </c>
      <c r="G109" s="16" t="str">
        <f t="shared" si="1"/>
        <v>Febrero</v>
      </c>
    </row>
    <row r="110" spans="1:7" x14ac:dyDescent="0.25">
      <c r="A110" s="16" t="s">
        <v>5</v>
      </c>
      <c r="B110" s="24">
        <v>46059</v>
      </c>
      <c r="C110" s="16" t="s">
        <v>43</v>
      </c>
      <c r="D110" s="16" t="s">
        <v>136</v>
      </c>
      <c r="E110" s="17">
        <v>394</v>
      </c>
      <c r="F110" s="16" t="s">
        <v>70</v>
      </c>
      <c r="G110" s="16" t="str">
        <f t="shared" si="1"/>
        <v>Febrero</v>
      </c>
    </row>
    <row r="111" spans="1:7" x14ac:dyDescent="0.25">
      <c r="A111" s="16" t="s">
        <v>9</v>
      </c>
      <c r="B111" s="24">
        <v>46059</v>
      </c>
      <c r="C111" s="16" t="s">
        <v>42</v>
      </c>
      <c r="D111" s="16" t="s">
        <v>127</v>
      </c>
      <c r="E111" s="17">
        <v>600</v>
      </c>
      <c r="F111" s="16" t="s">
        <v>70</v>
      </c>
      <c r="G111" s="16" t="str">
        <f t="shared" si="1"/>
        <v>Febrero</v>
      </c>
    </row>
    <row r="112" spans="1:7" x14ac:dyDescent="0.25">
      <c r="A112" s="16" t="s">
        <v>5</v>
      </c>
      <c r="B112" s="24">
        <v>46059</v>
      </c>
      <c r="C112" s="16" t="s">
        <v>43</v>
      </c>
      <c r="D112" s="16" t="s">
        <v>136</v>
      </c>
      <c r="E112" s="17">
        <v>242</v>
      </c>
      <c r="F112" s="16" t="s">
        <v>70</v>
      </c>
      <c r="G112" s="16" t="str">
        <f t="shared" si="1"/>
        <v>Febrero</v>
      </c>
    </row>
    <row r="113" spans="1:7" x14ac:dyDescent="0.25">
      <c r="A113" s="16" t="s">
        <v>9</v>
      </c>
      <c r="B113" s="24">
        <v>46059</v>
      </c>
      <c r="C113" s="16" t="s">
        <v>33</v>
      </c>
      <c r="D113" s="16" t="s">
        <v>227</v>
      </c>
      <c r="E113" s="17">
        <v>7</v>
      </c>
      <c r="F113" s="16" t="s">
        <v>70</v>
      </c>
      <c r="G113" s="16" t="str">
        <f t="shared" si="1"/>
        <v>Febrero</v>
      </c>
    </row>
    <row r="114" spans="1:7" x14ac:dyDescent="0.25">
      <c r="A114" s="16" t="s">
        <v>9</v>
      </c>
      <c r="B114" s="24">
        <v>46060</v>
      </c>
      <c r="C114" s="16" t="s">
        <v>33</v>
      </c>
      <c r="D114" s="16" t="s">
        <v>110</v>
      </c>
      <c r="E114" s="17">
        <v>3.5</v>
      </c>
      <c r="F114" s="16" t="s">
        <v>105</v>
      </c>
      <c r="G114" s="16" t="str">
        <f t="shared" si="1"/>
        <v>Febrero</v>
      </c>
    </row>
    <row r="115" spans="1:7" x14ac:dyDescent="0.25">
      <c r="A115" s="16" t="s">
        <v>9</v>
      </c>
      <c r="B115" s="24">
        <v>46060</v>
      </c>
      <c r="C115" s="16" t="s">
        <v>33</v>
      </c>
      <c r="D115" s="16" t="s">
        <v>227</v>
      </c>
      <c r="E115" s="17">
        <v>3.29</v>
      </c>
      <c r="F115" s="16" t="s">
        <v>105</v>
      </c>
      <c r="G115" s="16" t="str">
        <f t="shared" si="1"/>
        <v>Febrero</v>
      </c>
    </row>
    <row r="116" spans="1:7" x14ac:dyDescent="0.25">
      <c r="A116" s="16" t="s">
        <v>9</v>
      </c>
      <c r="B116" s="24">
        <v>46060</v>
      </c>
      <c r="C116" s="16" t="s">
        <v>33</v>
      </c>
      <c r="D116" s="16" t="s">
        <v>109</v>
      </c>
      <c r="E116" s="17">
        <f>20.9+9.67</f>
        <v>30.57</v>
      </c>
      <c r="F116" s="16" t="s">
        <v>105</v>
      </c>
      <c r="G116" s="16" t="str">
        <f t="shared" si="1"/>
        <v>Febrero</v>
      </c>
    </row>
    <row r="117" spans="1:7" x14ac:dyDescent="0.25">
      <c r="A117" s="16" t="s">
        <v>9</v>
      </c>
      <c r="B117" s="24">
        <v>46060</v>
      </c>
      <c r="C117" s="16" t="s">
        <v>33</v>
      </c>
      <c r="D117" s="16" t="s">
        <v>227</v>
      </c>
      <c r="E117" s="17">
        <v>3.5</v>
      </c>
      <c r="F117" s="16" t="s">
        <v>105</v>
      </c>
      <c r="G117" s="16" t="str">
        <f t="shared" si="1"/>
        <v>Febrero</v>
      </c>
    </row>
    <row r="118" spans="1:7" x14ac:dyDescent="0.25">
      <c r="A118" s="16" t="s">
        <v>9</v>
      </c>
      <c r="B118" s="24">
        <v>46060</v>
      </c>
      <c r="C118" s="16" t="s">
        <v>33</v>
      </c>
      <c r="D118" s="16" t="s">
        <v>109</v>
      </c>
      <c r="E118" s="17">
        <v>15</v>
      </c>
      <c r="F118" s="16" t="s">
        <v>70</v>
      </c>
      <c r="G118" s="16" t="str">
        <f t="shared" si="1"/>
        <v>Febrero</v>
      </c>
    </row>
    <row r="119" spans="1:7" x14ac:dyDescent="0.25">
      <c r="A119" s="16" t="s">
        <v>9</v>
      </c>
      <c r="B119" s="24">
        <v>46062</v>
      </c>
      <c r="C119" s="16" t="s">
        <v>33</v>
      </c>
      <c r="D119" s="16" t="s">
        <v>109</v>
      </c>
      <c r="E119" s="17">
        <v>59.54</v>
      </c>
      <c r="F119" s="16" t="s">
        <v>70</v>
      </c>
      <c r="G119" s="16" t="str">
        <f t="shared" si="1"/>
        <v>Febrero</v>
      </c>
    </row>
    <row r="120" spans="1:7" x14ac:dyDescent="0.25">
      <c r="A120" s="16" t="s">
        <v>5</v>
      </c>
      <c r="B120" s="24">
        <v>46063</v>
      </c>
      <c r="C120" s="16" t="s">
        <v>103</v>
      </c>
      <c r="D120" s="16" t="s">
        <v>104</v>
      </c>
      <c r="E120" s="17">
        <v>1000</v>
      </c>
      <c r="F120" s="16" t="s">
        <v>73</v>
      </c>
      <c r="G120" s="16" t="str">
        <f t="shared" si="1"/>
        <v>Febrero</v>
      </c>
    </row>
    <row r="121" spans="1:7" x14ac:dyDescent="0.25">
      <c r="A121" s="16" t="s">
        <v>9</v>
      </c>
      <c r="B121" s="24">
        <v>46063</v>
      </c>
      <c r="C121" s="16" t="s">
        <v>33</v>
      </c>
      <c r="D121" s="16" t="s">
        <v>128</v>
      </c>
      <c r="E121" s="17">
        <v>4.9000000000000004</v>
      </c>
      <c r="F121" s="16" t="s">
        <v>73</v>
      </c>
      <c r="G121" s="16" t="str">
        <f t="shared" si="1"/>
        <v>Febrero</v>
      </c>
    </row>
    <row r="122" spans="1:7" x14ac:dyDescent="0.25">
      <c r="A122" s="16" t="s">
        <v>9</v>
      </c>
      <c r="B122" s="24">
        <v>46063</v>
      </c>
      <c r="C122" s="16" t="s">
        <v>33</v>
      </c>
      <c r="D122" s="16" t="s">
        <v>106</v>
      </c>
      <c r="E122" s="17">
        <v>4</v>
      </c>
      <c r="F122" s="16" t="s">
        <v>70</v>
      </c>
      <c r="G122" s="16" t="str">
        <f t="shared" si="1"/>
        <v>Febrero</v>
      </c>
    </row>
    <row r="123" spans="1:7" x14ac:dyDescent="0.25">
      <c r="A123" s="16" t="s">
        <v>9</v>
      </c>
      <c r="B123" s="24">
        <v>46063</v>
      </c>
      <c r="C123" s="16" t="s">
        <v>33</v>
      </c>
      <c r="D123" s="16" t="s">
        <v>109</v>
      </c>
      <c r="E123" s="17">
        <v>10</v>
      </c>
      <c r="F123" s="16" t="s">
        <v>70</v>
      </c>
      <c r="G123" s="16" t="str">
        <f t="shared" si="1"/>
        <v>Febrero</v>
      </c>
    </row>
    <row r="124" spans="1:7" x14ac:dyDescent="0.25">
      <c r="A124" s="16" t="s">
        <v>9</v>
      </c>
      <c r="B124" s="24">
        <v>46064</v>
      </c>
      <c r="C124" s="16" t="s">
        <v>33</v>
      </c>
      <c r="D124" s="16" t="s">
        <v>106</v>
      </c>
      <c r="E124" s="17">
        <v>20</v>
      </c>
      <c r="F124" s="16" t="s">
        <v>70</v>
      </c>
      <c r="G124" s="16" t="str">
        <f t="shared" si="1"/>
        <v>Febrero</v>
      </c>
    </row>
    <row r="125" spans="1:7" x14ac:dyDescent="0.25">
      <c r="A125" s="16" t="s">
        <v>9</v>
      </c>
      <c r="B125" s="24">
        <v>46064</v>
      </c>
      <c r="C125" s="16" t="s">
        <v>33</v>
      </c>
      <c r="D125" s="16" t="s">
        <v>110</v>
      </c>
      <c r="E125" s="17">
        <v>5.9</v>
      </c>
      <c r="F125" s="16" t="s">
        <v>73</v>
      </c>
      <c r="G125" s="16" t="str">
        <f t="shared" si="1"/>
        <v>Febrero</v>
      </c>
    </row>
    <row r="126" spans="1:7" x14ac:dyDescent="0.25">
      <c r="A126" s="16" t="s">
        <v>9</v>
      </c>
      <c r="B126" s="24">
        <v>46064</v>
      </c>
      <c r="C126" s="16" t="s">
        <v>33</v>
      </c>
      <c r="D126" s="16" t="s">
        <v>119</v>
      </c>
      <c r="E126" s="17">
        <v>42.46</v>
      </c>
      <c r="F126" s="16" t="s">
        <v>73</v>
      </c>
      <c r="G126" s="16" t="str">
        <f t="shared" si="1"/>
        <v>Febrero</v>
      </c>
    </row>
    <row r="127" spans="1:7" x14ac:dyDescent="0.25">
      <c r="A127" s="16" t="s">
        <v>9</v>
      </c>
      <c r="B127" s="24">
        <v>46064</v>
      </c>
      <c r="C127" s="16" t="s">
        <v>33</v>
      </c>
      <c r="D127" s="16" t="s">
        <v>137</v>
      </c>
      <c r="E127" s="17">
        <v>40</v>
      </c>
      <c r="F127" s="16" t="s">
        <v>73</v>
      </c>
      <c r="G127" s="16" t="str">
        <f t="shared" si="1"/>
        <v>Febrero</v>
      </c>
    </row>
    <row r="128" spans="1:7" x14ac:dyDescent="0.25">
      <c r="A128" s="16" t="s">
        <v>9</v>
      </c>
      <c r="B128" s="24">
        <v>46064</v>
      </c>
      <c r="C128" s="16" t="s">
        <v>33</v>
      </c>
      <c r="D128" s="16" t="s">
        <v>138</v>
      </c>
      <c r="E128" s="17">
        <v>50.89</v>
      </c>
      <c r="F128" s="16" t="s">
        <v>73</v>
      </c>
      <c r="G128" s="16" t="str">
        <f t="shared" si="1"/>
        <v>Febrero</v>
      </c>
    </row>
    <row r="129" spans="1:7" x14ac:dyDescent="0.25">
      <c r="A129" s="16" t="s">
        <v>9</v>
      </c>
      <c r="B129" s="24">
        <v>46064</v>
      </c>
      <c r="C129" s="16" t="s">
        <v>33</v>
      </c>
      <c r="D129" s="16" t="s">
        <v>123</v>
      </c>
      <c r="E129" s="17">
        <v>90</v>
      </c>
      <c r="F129" s="16" t="s">
        <v>73</v>
      </c>
      <c r="G129" s="16" t="str">
        <f t="shared" si="1"/>
        <v>Febrero</v>
      </c>
    </row>
    <row r="130" spans="1:7" x14ac:dyDescent="0.25">
      <c r="A130" s="16" t="s">
        <v>9</v>
      </c>
      <c r="B130" s="24">
        <v>46065</v>
      </c>
      <c r="C130" s="16" t="s">
        <v>33</v>
      </c>
      <c r="D130" s="16" t="s">
        <v>119</v>
      </c>
      <c r="E130" s="17">
        <v>69.5</v>
      </c>
      <c r="F130" s="16" t="s">
        <v>73</v>
      </c>
      <c r="G130" s="16" t="str">
        <f t="shared" ref="G130:G193" si="2">TEXT(B130,"MMMM")</f>
        <v>Febrero</v>
      </c>
    </row>
    <row r="131" spans="1:7" x14ac:dyDescent="0.25">
      <c r="A131" s="16" t="s">
        <v>9</v>
      </c>
      <c r="B131" s="24">
        <v>46066</v>
      </c>
      <c r="C131" s="16" t="s">
        <v>42</v>
      </c>
      <c r="D131" s="16" t="s">
        <v>116</v>
      </c>
      <c r="E131" s="17">
        <v>90</v>
      </c>
      <c r="F131" s="16" t="s">
        <v>70</v>
      </c>
      <c r="G131" s="16" t="str">
        <f t="shared" si="2"/>
        <v>Febrero</v>
      </c>
    </row>
    <row r="132" spans="1:7" x14ac:dyDescent="0.25">
      <c r="A132" s="16" t="s">
        <v>9</v>
      </c>
      <c r="B132" s="24">
        <v>46066</v>
      </c>
      <c r="C132" s="16" t="s">
        <v>33</v>
      </c>
      <c r="D132" s="16" t="s">
        <v>139</v>
      </c>
      <c r="E132" s="17">
        <v>24</v>
      </c>
      <c r="F132" s="16" t="s">
        <v>73</v>
      </c>
      <c r="G132" s="16" t="str">
        <f t="shared" si="2"/>
        <v>Febrero</v>
      </c>
    </row>
    <row r="133" spans="1:7" x14ac:dyDescent="0.25">
      <c r="A133" s="16" t="s">
        <v>9</v>
      </c>
      <c r="B133" s="24">
        <v>46067</v>
      </c>
      <c r="C133" s="16" t="s">
        <v>33</v>
      </c>
      <c r="D133" s="16" t="s">
        <v>140</v>
      </c>
      <c r="E133" s="17">
        <v>15.6</v>
      </c>
      <c r="F133" s="16" t="s">
        <v>73</v>
      </c>
      <c r="G133" s="16" t="str">
        <f t="shared" si="2"/>
        <v>Febrero</v>
      </c>
    </row>
    <row r="134" spans="1:7" x14ac:dyDescent="0.25">
      <c r="A134" s="16" t="s">
        <v>5</v>
      </c>
      <c r="B134" s="24">
        <v>46067</v>
      </c>
      <c r="C134" s="16" t="s">
        <v>43</v>
      </c>
      <c r="D134" s="16" t="s">
        <v>141</v>
      </c>
      <c r="E134" s="17">
        <v>400</v>
      </c>
      <c r="F134" s="16" t="s">
        <v>70</v>
      </c>
      <c r="G134" s="16" t="str">
        <f t="shared" si="2"/>
        <v>Febrero</v>
      </c>
    </row>
    <row r="135" spans="1:7" x14ac:dyDescent="0.25">
      <c r="A135" s="16" t="s">
        <v>9</v>
      </c>
      <c r="B135" s="24">
        <v>46067</v>
      </c>
      <c r="C135" s="16" t="s">
        <v>32</v>
      </c>
      <c r="D135" s="16" t="s">
        <v>98</v>
      </c>
      <c r="E135" s="17">
        <v>4</v>
      </c>
      <c r="F135" s="16" t="s">
        <v>70</v>
      </c>
      <c r="G135" s="16" t="str">
        <f t="shared" si="2"/>
        <v>Febrero</v>
      </c>
    </row>
    <row r="136" spans="1:7" x14ac:dyDescent="0.25">
      <c r="A136" s="16" t="s">
        <v>9</v>
      </c>
      <c r="B136" s="24">
        <v>46067</v>
      </c>
      <c r="C136" s="16" t="s">
        <v>33</v>
      </c>
      <c r="D136" s="16" t="s">
        <v>119</v>
      </c>
      <c r="E136" s="17">
        <v>60</v>
      </c>
      <c r="F136" s="16" t="s">
        <v>70</v>
      </c>
      <c r="G136" s="16" t="str">
        <f t="shared" si="2"/>
        <v>Febrero</v>
      </c>
    </row>
    <row r="137" spans="1:7" x14ac:dyDescent="0.25">
      <c r="A137" s="16" t="s">
        <v>9</v>
      </c>
      <c r="B137" s="24">
        <v>46067</v>
      </c>
      <c r="C137" s="16" t="s">
        <v>33</v>
      </c>
      <c r="D137" s="16" t="s">
        <v>109</v>
      </c>
      <c r="E137" s="17">
        <v>21.5</v>
      </c>
      <c r="F137" s="16" t="s">
        <v>73</v>
      </c>
      <c r="G137" s="16" t="str">
        <f t="shared" si="2"/>
        <v>Febrero</v>
      </c>
    </row>
    <row r="138" spans="1:7" x14ac:dyDescent="0.25">
      <c r="A138" s="16" t="s">
        <v>9</v>
      </c>
      <c r="B138" s="24">
        <v>46067</v>
      </c>
      <c r="C138" s="16" t="s">
        <v>33</v>
      </c>
      <c r="D138" s="16" t="s">
        <v>226</v>
      </c>
      <c r="E138" s="17">
        <v>6.5</v>
      </c>
      <c r="F138" s="16" t="s">
        <v>73</v>
      </c>
      <c r="G138" s="16" t="str">
        <f t="shared" si="2"/>
        <v>Febrero</v>
      </c>
    </row>
    <row r="139" spans="1:7" x14ac:dyDescent="0.25">
      <c r="A139" s="16" t="s">
        <v>9</v>
      </c>
      <c r="B139" s="24">
        <v>46068</v>
      </c>
      <c r="C139" s="16" t="s">
        <v>63</v>
      </c>
      <c r="D139" s="16" t="s">
        <v>120</v>
      </c>
      <c r="E139" s="17">
        <v>60.36</v>
      </c>
      <c r="F139" s="16" t="s">
        <v>70</v>
      </c>
      <c r="G139" s="16" t="str">
        <f t="shared" si="2"/>
        <v>Febrero</v>
      </c>
    </row>
    <row r="140" spans="1:7" x14ac:dyDescent="0.25">
      <c r="A140" s="16" t="s">
        <v>9</v>
      </c>
      <c r="B140" s="24">
        <v>46068</v>
      </c>
      <c r="C140" s="16" t="s">
        <v>33</v>
      </c>
      <c r="D140" s="16" t="s">
        <v>139</v>
      </c>
      <c r="E140" s="17">
        <v>80</v>
      </c>
      <c r="F140" s="16" t="s">
        <v>70</v>
      </c>
      <c r="G140" s="16" t="str">
        <f t="shared" si="2"/>
        <v>Febrero</v>
      </c>
    </row>
    <row r="141" spans="1:7" x14ac:dyDescent="0.25">
      <c r="A141" s="16" t="s">
        <v>9</v>
      </c>
      <c r="B141" s="24">
        <v>46068</v>
      </c>
      <c r="C141" s="16" t="s">
        <v>33</v>
      </c>
      <c r="D141" s="16" t="s">
        <v>227</v>
      </c>
      <c r="E141" s="17">
        <v>8.1</v>
      </c>
      <c r="F141" s="16" t="s">
        <v>73</v>
      </c>
      <c r="G141" s="16" t="str">
        <f t="shared" si="2"/>
        <v>Febrero</v>
      </c>
    </row>
    <row r="142" spans="1:7" x14ac:dyDescent="0.25">
      <c r="A142" s="16" t="s">
        <v>9</v>
      </c>
      <c r="B142" s="24">
        <v>46069</v>
      </c>
      <c r="C142" s="16" t="s">
        <v>33</v>
      </c>
      <c r="D142" s="16" t="s">
        <v>126</v>
      </c>
      <c r="E142" s="17">
        <v>50</v>
      </c>
      <c r="F142" s="16" t="s">
        <v>70</v>
      </c>
      <c r="G142" s="16" t="str">
        <f t="shared" si="2"/>
        <v>Febrero</v>
      </c>
    </row>
    <row r="143" spans="1:7" x14ac:dyDescent="0.25">
      <c r="A143" s="16" t="s">
        <v>9</v>
      </c>
      <c r="B143" s="24">
        <v>46069</v>
      </c>
      <c r="C143" s="16" t="s">
        <v>33</v>
      </c>
      <c r="D143" s="16" t="s">
        <v>124</v>
      </c>
      <c r="E143" s="17">
        <v>12.5</v>
      </c>
      <c r="F143" s="16" t="s">
        <v>70</v>
      </c>
      <c r="G143" s="16" t="str">
        <f t="shared" si="2"/>
        <v>Febrero</v>
      </c>
    </row>
    <row r="144" spans="1:7" x14ac:dyDescent="0.25">
      <c r="A144" s="16" t="s">
        <v>9</v>
      </c>
      <c r="B144" s="24">
        <v>46069</v>
      </c>
      <c r="C144" s="16" t="s">
        <v>33</v>
      </c>
      <c r="D144" s="16" t="s">
        <v>109</v>
      </c>
      <c r="E144" s="17">
        <v>15</v>
      </c>
      <c r="F144" s="16" t="s">
        <v>70</v>
      </c>
      <c r="G144" s="16" t="str">
        <f t="shared" si="2"/>
        <v>Febrero</v>
      </c>
    </row>
    <row r="145" spans="1:7" x14ac:dyDescent="0.25">
      <c r="A145" s="16" t="s">
        <v>9</v>
      </c>
      <c r="B145" s="24">
        <v>46071</v>
      </c>
      <c r="C145" s="16" t="s">
        <v>33</v>
      </c>
      <c r="D145" s="16" t="s">
        <v>109</v>
      </c>
      <c r="E145" s="17">
        <v>10</v>
      </c>
      <c r="F145" s="16" t="s">
        <v>70</v>
      </c>
      <c r="G145" s="16" t="str">
        <f t="shared" si="2"/>
        <v>Febrero</v>
      </c>
    </row>
    <row r="146" spans="1:7" x14ac:dyDescent="0.25">
      <c r="A146" s="16" t="s">
        <v>9</v>
      </c>
      <c r="B146" s="24">
        <v>46072</v>
      </c>
      <c r="C146" s="16" t="s">
        <v>33</v>
      </c>
      <c r="D146" s="16" t="s">
        <v>106</v>
      </c>
      <c r="E146" s="17">
        <v>6</v>
      </c>
      <c r="F146" s="16" t="s">
        <v>70</v>
      </c>
      <c r="G146" s="16" t="str">
        <f t="shared" si="2"/>
        <v>Febrero</v>
      </c>
    </row>
    <row r="147" spans="1:7" x14ac:dyDescent="0.25">
      <c r="A147" s="16" t="s">
        <v>9</v>
      </c>
      <c r="B147" s="24">
        <v>46072</v>
      </c>
      <c r="C147" s="16" t="s">
        <v>33</v>
      </c>
      <c r="D147" s="16" t="s">
        <v>109</v>
      </c>
      <c r="E147" s="17">
        <v>9.5</v>
      </c>
      <c r="F147" s="16" t="s">
        <v>70</v>
      </c>
      <c r="G147" s="16" t="str">
        <f t="shared" si="2"/>
        <v>Febrero</v>
      </c>
    </row>
    <row r="148" spans="1:7" x14ac:dyDescent="0.25">
      <c r="A148" s="16" t="s">
        <v>9</v>
      </c>
      <c r="B148" s="24">
        <v>46073</v>
      </c>
      <c r="C148" s="16" t="s">
        <v>33</v>
      </c>
      <c r="D148" s="16" t="s">
        <v>142</v>
      </c>
      <c r="E148" s="17">
        <v>480</v>
      </c>
      <c r="F148" s="16" t="s">
        <v>73</v>
      </c>
      <c r="G148" s="16" t="str">
        <f t="shared" si="2"/>
        <v>Febrero</v>
      </c>
    </row>
    <row r="149" spans="1:7" x14ac:dyDescent="0.25">
      <c r="A149" s="16" t="s">
        <v>5</v>
      </c>
      <c r="B149" s="24">
        <v>46073</v>
      </c>
      <c r="C149" s="16" t="s">
        <v>43</v>
      </c>
      <c r="D149" s="16" t="s">
        <v>143</v>
      </c>
      <c r="E149" s="17">
        <v>240</v>
      </c>
      <c r="F149" s="16" t="s">
        <v>70</v>
      </c>
      <c r="G149" s="16" t="str">
        <f t="shared" si="2"/>
        <v>Febrero</v>
      </c>
    </row>
    <row r="150" spans="1:7" x14ac:dyDescent="0.25">
      <c r="A150" s="16" t="s">
        <v>9</v>
      </c>
      <c r="B150" s="24">
        <v>46073</v>
      </c>
      <c r="C150" s="16" t="s">
        <v>33</v>
      </c>
      <c r="D150" s="16" t="s">
        <v>227</v>
      </c>
      <c r="E150" s="17">
        <v>6.99</v>
      </c>
      <c r="F150" s="16" t="s">
        <v>73</v>
      </c>
      <c r="G150" s="16" t="str">
        <f t="shared" si="2"/>
        <v>Febrero</v>
      </c>
    </row>
    <row r="151" spans="1:7" x14ac:dyDescent="0.25">
      <c r="A151" s="16" t="s">
        <v>9</v>
      </c>
      <c r="B151" s="24">
        <v>46073</v>
      </c>
      <c r="C151" s="16" t="s">
        <v>33</v>
      </c>
      <c r="D151" s="16" t="s">
        <v>106</v>
      </c>
      <c r="E151" s="17">
        <v>20</v>
      </c>
      <c r="F151" s="16" t="s">
        <v>70</v>
      </c>
      <c r="G151" s="16" t="str">
        <f t="shared" si="2"/>
        <v>Febrero</v>
      </c>
    </row>
    <row r="152" spans="1:7" x14ac:dyDescent="0.25">
      <c r="A152" s="16" t="s">
        <v>9</v>
      </c>
      <c r="B152" s="24">
        <v>46074</v>
      </c>
      <c r="C152" s="16" t="s">
        <v>33</v>
      </c>
      <c r="D152" s="16" t="s">
        <v>115</v>
      </c>
      <c r="E152" s="17">
        <v>28</v>
      </c>
      <c r="F152" s="16" t="s">
        <v>73</v>
      </c>
      <c r="G152" s="16" t="str">
        <f t="shared" si="2"/>
        <v>Febrero</v>
      </c>
    </row>
    <row r="153" spans="1:7" x14ac:dyDescent="0.25">
      <c r="A153" s="16" t="s">
        <v>5</v>
      </c>
      <c r="B153" s="24">
        <v>46074</v>
      </c>
      <c r="C153" s="16" t="s">
        <v>43</v>
      </c>
      <c r="D153" s="16" t="s">
        <v>116</v>
      </c>
      <c r="E153" s="17">
        <v>100</v>
      </c>
      <c r="F153" s="16" t="s">
        <v>70</v>
      </c>
      <c r="G153" s="16" t="str">
        <f t="shared" si="2"/>
        <v>Febrero</v>
      </c>
    </row>
    <row r="154" spans="1:7" x14ac:dyDescent="0.25">
      <c r="A154" s="16" t="s">
        <v>9</v>
      </c>
      <c r="B154" s="24">
        <v>46074</v>
      </c>
      <c r="C154" s="16" t="s">
        <v>33</v>
      </c>
      <c r="D154" s="16" t="s">
        <v>109</v>
      </c>
      <c r="E154" s="17">
        <v>20</v>
      </c>
      <c r="F154" s="16" t="s">
        <v>70</v>
      </c>
      <c r="G154" s="16" t="str">
        <f t="shared" si="2"/>
        <v>Febrero</v>
      </c>
    </row>
    <row r="155" spans="1:7" x14ac:dyDescent="0.25">
      <c r="A155" s="16" t="s">
        <v>9</v>
      </c>
      <c r="B155" s="24">
        <v>46074</v>
      </c>
      <c r="C155" s="16" t="s">
        <v>33</v>
      </c>
      <c r="D155" s="16" t="s">
        <v>118</v>
      </c>
      <c r="E155" s="17">
        <v>7.5</v>
      </c>
      <c r="F155" s="16" t="s">
        <v>70</v>
      </c>
      <c r="G155" s="16" t="str">
        <f t="shared" si="2"/>
        <v>Febrero</v>
      </c>
    </row>
    <row r="156" spans="1:7" x14ac:dyDescent="0.25">
      <c r="A156" s="16" t="s">
        <v>9</v>
      </c>
      <c r="B156" s="24">
        <v>46074</v>
      </c>
      <c r="C156" s="16" t="s">
        <v>33</v>
      </c>
      <c r="D156" s="16" t="s">
        <v>225</v>
      </c>
      <c r="E156" s="17">
        <v>3.5</v>
      </c>
      <c r="F156" s="16" t="s">
        <v>70</v>
      </c>
      <c r="G156" s="16" t="str">
        <f t="shared" si="2"/>
        <v>Febrero</v>
      </c>
    </row>
    <row r="157" spans="1:7" x14ac:dyDescent="0.25">
      <c r="A157" s="16" t="s">
        <v>9</v>
      </c>
      <c r="B157" s="24">
        <v>46074</v>
      </c>
      <c r="C157" s="16" t="s">
        <v>33</v>
      </c>
      <c r="D157" s="16" t="s">
        <v>144</v>
      </c>
      <c r="E157" s="17">
        <v>2</v>
      </c>
      <c r="F157" s="16" t="s">
        <v>70</v>
      </c>
      <c r="G157" s="16" t="str">
        <f t="shared" si="2"/>
        <v>Febrero</v>
      </c>
    </row>
    <row r="158" spans="1:7" x14ac:dyDescent="0.25">
      <c r="A158" s="16" t="s">
        <v>9</v>
      </c>
      <c r="B158" s="24">
        <v>46074</v>
      </c>
      <c r="C158" s="16" t="s">
        <v>33</v>
      </c>
      <c r="D158" s="16" t="s">
        <v>108</v>
      </c>
      <c r="E158" s="17">
        <v>30</v>
      </c>
      <c r="F158" s="16" t="s">
        <v>73</v>
      </c>
      <c r="G158" s="16" t="str">
        <f t="shared" si="2"/>
        <v>Febrero</v>
      </c>
    </row>
    <row r="159" spans="1:7" x14ac:dyDescent="0.25">
      <c r="A159" s="16" t="s">
        <v>9</v>
      </c>
      <c r="B159" s="24">
        <v>46074</v>
      </c>
      <c r="C159" s="16" t="s">
        <v>33</v>
      </c>
      <c r="D159" s="16" t="s">
        <v>144</v>
      </c>
      <c r="E159" s="17">
        <v>9</v>
      </c>
      <c r="F159" s="16" t="s">
        <v>73</v>
      </c>
      <c r="G159" s="16" t="str">
        <f t="shared" si="2"/>
        <v>Febrero</v>
      </c>
    </row>
    <row r="160" spans="1:7" x14ac:dyDescent="0.25">
      <c r="A160" s="16" t="s">
        <v>9</v>
      </c>
      <c r="B160" s="24">
        <v>46074</v>
      </c>
      <c r="C160" s="16" t="s">
        <v>33</v>
      </c>
      <c r="D160" s="16" t="s">
        <v>144</v>
      </c>
      <c r="E160" s="17">
        <v>13.91</v>
      </c>
      <c r="F160" s="16" t="s">
        <v>73</v>
      </c>
      <c r="G160" s="16" t="str">
        <f t="shared" si="2"/>
        <v>Febrero</v>
      </c>
    </row>
    <row r="161" spans="1:7" x14ac:dyDescent="0.25">
      <c r="A161" s="16" t="s">
        <v>9</v>
      </c>
      <c r="B161" s="24">
        <v>46075</v>
      </c>
      <c r="C161" s="16" t="s">
        <v>33</v>
      </c>
      <c r="D161" s="16" t="s">
        <v>145</v>
      </c>
      <c r="E161" s="17">
        <v>10</v>
      </c>
      <c r="F161" s="16" t="s">
        <v>70</v>
      </c>
      <c r="G161" s="16" t="str">
        <f t="shared" si="2"/>
        <v>Febrero</v>
      </c>
    </row>
    <row r="162" spans="1:7" x14ac:dyDescent="0.25">
      <c r="A162" s="16" t="s">
        <v>9</v>
      </c>
      <c r="B162" s="24">
        <v>46075</v>
      </c>
      <c r="C162" s="16" t="s">
        <v>33</v>
      </c>
      <c r="D162" s="16" t="s">
        <v>133</v>
      </c>
      <c r="E162" s="17">
        <v>14.7</v>
      </c>
      <c r="F162" s="16" t="s">
        <v>70</v>
      </c>
      <c r="G162" s="16" t="str">
        <f t="shared" si="2"/>
        <v>Febrero</v>
      </c>
    </row>
    <row r="163" spans="1:7" x14ac:dyDescent="0.25">
      <c r="A163" s="16" t="s">
        <v>9</v>
      </c>
      <c r="B163" s="24">
        <v>46075</v>
      </c>
      <c r="C163" s="16" t="s">
        <v>33</v>
      </c>
      <c r="D163" s="16" t="s">
        <v>121</v>
      </c>
      <c r="E163" s="17">
        <v>22.5</v>
      </c>
      <c r="F163" s="16" t="s">
        <v>70</v>
      </c>
      <c r="G163" s="16" t="str">
        <f t="shared" si="2"/>
        <v>Febrero</v>
      </c>
    </row>
    <row r="164" spans="1:7" x14ac:dyDescent="0.25">
      <c r="A164" s="16" t="s">
        <v>9</v>
      </c>
      <c r="B164" s="24">
        <v>46075</v>
      </c>
      <c r="C164" s="16" t="s">
        <v>33</v>
      </c>
      <c r="D164" s="16" t="s">
        <v>106</v>
      </c>
      <c r="E164" s="17">
        <v>7</v>
      </c>
      <c r="F164" s="16" t="s">
        <v>70</v>
      </c>
      <c r="G164" s="16" t="str">
        <f t="shared" si="2"/>
        <v>Febrero</v>
      </c>
    </row>
    <row r="165" spans="1:7" x14ac:dyDescent="0.25">
      <c r="A165" s="16" t="s">
        <v>9</v>
      </c>
      <c r="B165" s="24">
        <v>46075</v>
      </c>
      <c r="C165" s="16" t="s">
        <v>32</v>
      </c>
      <c r="D165" s="16" t="s">
        <v>117</v>
      </c>
      <c r="E165" s="17">
        <v>0.94</v>
      </c>
      <c r="F165" s="16" t="s">
        <v>73</v>
      </c>
      <c r="G165" s="16" t="str">
        <f t="shared" si="2"/>
        <v>Febrero</v>
      </c>
    </row>
    <row r="166" spans="1:7" x14ac:dyDescent="0.25">
      <c r="A166" s="16" t="s">
        <v>9</v>
      </c>
      <c r="B166" s="24">
        <v>46077</v>
      </c>
      <c r="C166" s="16" t="s">
        <v>33</v>
      </c>
      <c r="D166" s="16" t="s">
        <v>115</v>
      </c>
      <c r="E166" s="17">
        <v>30.8</v>
      </c>
      <c r="F166" s="16" t="s">
        <v>70</v>
      </c>
      <c r="G166" s="16" t="str">
        <f t="shared" si="2"/>
        <v>Febrero</v>
      </c>
    </row>
    <row r="167" spans="1:7" x14ac:dyDescent="0.25">
      <c r="A167" s="16" t="s">
        <v>9</v>
      </c>
      <c r="B167" s="24">
        <v>46077</v>
      </c>
      <c r="C167" s="16" t="s">
        <v>32</v>
      </c>
      <c r="D167" s="16" t="s">
        <v>102</v>
      </c>
      <c r="E167" s="17">
        <v>379.76</v>
      </c>
      <c r="F167" s="16" t="s">
        <v>70</v>
      </c>
      <c r="G167" s="16" t="str">
        <f t="shared" si="2"/>
        <v>Febrero</v>
      </c>
    </row>
    <row r="168" spans="1:7" x14ac:dyDescent="0.25">
      <c r="A168" s="16" t="s">
        <v>5</v>
      </c>
      <c r="B168" s="24">
        <v>46077</v>
      </c>
      <c r="C168" s="16" t="s">
        <v>103</v>
      </c>
      <c r="D168" s="16" t="s">
        <v>104</v>
      </c>
      <c r="E168" s="17">
        <v>379.74</v>
      </c>
      <c r="F168" s="16" t="s">
        <v>73</v>
      </c>
      <c r="G168" s="16" t="str">
        <f t="shared" si="2"/>
        <v>Febrero</v>
      </c>
    </row>
    <row r="169" spans="1:7" x14ac:dyDescent="0.25">
      <c r="A169" s="16" t="s">
        <v>9</v>
      </c>
      <c r="B169" s="24">
        <v>46078</v>
      </c>
      <c r="C169" s="16" t="s">
        <v>33</v>
      </c>
      <c r="D169" s="16" t="s">
        <v>109</v>
      </c>
      <c r="E169" s="17">
        <v>15</v>
      </c>
      <c r="F169" s="16" t="s">
        <v>70</v>
      </c>
      <c r="G169" s="16" t="str">
        <f t="shared" si="2"/>
        <v>Febrero</v>
      </c>
    </row>
    <row r="170" spans="1:7" x14ac:dyDescent="0.25">
      <c r="A170" s="16" t="s">
        <v>9</v>
      </c>
      <c r="B170" s="24">
        <v>46078</v>
      </c>
      <c r="C170" s="16" t="s">
        <v>33</v>
      </c>
      <c r="D170" s="16" t="s">
        <v>110</v>
      </c>
      <c r="E170" s="17">
        <v>3</v>
      </c>
      <c r="F170" s="16" t="s">
        <v>70</v>
      </c>
      <c r="G170" s="16" t="str">
        <f t="shared" si="2"/>
        <v>Febrero</v>
      </c>
    </row>
    <row r="171" spans="1:7" x14ac:dyDescent="0.25">
      <c r="A171" s="16" t="s">
        <v>5</v>
      </c>
      <c r="B171" s="24">
        <v>46082</v>
      </c>
      <c r="C171" s="16" t="s">
        <v>43</v>
      </c>
      <c r="D171" s="16" t="s">
        <v>92</v>
      </c>
      <c r="E171" s="17">
        <f>170.22-58.49+42.73</f>
        <v>154.45999999999998</v>
      </c>
      <c r="F171" s="16" t="s">
        <v>70</v>
      </c>
      <c r="G171" s="16" t="str">
        <f t="shared" si="2"/>
        <v>Marzo</v>
      </c>
    </row>
    <row r="172" spans="1:7" x14ac:dyDescent="0.25">
      <c r="A172" s="16" t="s">
        <v>5</v>
      </c>
      <c r="B172" s="24">
        <v>46082</v>
      </c>
      <c r="C172" s="16" t="s">
        <v>6</v>
      </c>
      <c r="D172" s="16" t="s">
        <v>6</v>
      </c>
      <c r="E172" s="17">
        <v>2073.06</v>
      </c>
      <c r="F172" s="16" t="s">
        <v>70</v>
      </c>
      <c r="G172" s="16" t="str">
        <f t="shared" si="2"/>
        <v>Marzo</v>
      </c>
    </row>
    <row r="173" spans="1:7" x14ac:dyDescent="0.25">
      <c r="A173" s="16" t="s">
        <v>5</v>
      </c>
      <c r="B173" s="24">
        <v>46082</v>
      </c>
      <c r="C173" s="16" t="s">
        <v>103</v>
      </c>
      <c r="D173" s="16" t="s">
        <v>104</v>
      </c>
      <c r="E173" s="17">
        <v>431.15</v>
      </c>
      <c r="F173" s="16" t="s">
        <v>73</v>
      </c>
      <c r="G173" s="16" t="str">
        <f t="shared" si="2"/>
        <v>Marzo</v>
      </c>
    </row>
    <row r="174" spans="1:7" x14ac:dyDescent="0.25">
      <c r="A174" s="16" t="s">
        <v>9</v>
      </c>
      <c r="B174" s="24">
        <v>46082</v>
      </c>
      <c r="C174" s="16" t="s">
        <v>32</v>
      </c>
      <c r="D174" s="16" t="s">
        <v>93</v>
      </c>
      <c r="E174" s="17">
        <v>79</v>
      </c>
      <c r="F174" s="16" t="s">
        <v>73</v>
      </c>
      <c r="G174" s="16" t="str">
        <f t="shared" si="2"/>
        <v>Marzo</v>
      </c>
    </row>
    <row r="175" spans="1:7" x14ac:dyDescent="0.25">
      <c r="A175" s="16" t="s">
        <v>9</v>
      </c>
      <c r="B175" s="24">
        <v>46082</v>
      </c>
      <c r="C175" s="16" t="s">
        <v>32</v>
      </c>
      <c r="D175" s="16" t="s">
        <v>94</v>
      </c>
      <c r="E175" s="17">
        <v>111.5</v>
      </c>
      <c r="F175" s="16" t="s">
        <v>73</v>
      </c>
      <c r="G175" s="16" t="str">
        <f t="shared" si="2"/>
        <v>Marzo</v>
      </c>
    </row>
    <row r="176" spans="1:7" x14ac:dyDescent="0.25">
      <c r="A176" s="16" t="s">
        <v>9</v>
      </c>
      <c r="B176" s="24">
        <v>46082</v>
      </c>
      <c r="C176" s="16" t="s">
        <v>32</v>
      </c>
      <c r="D176" s="16" t="s">
        <v>95</v>
      </c>
      <c r="E176" s="17">
        <v>35.799999999999997</v>
      </c>
      <c r="F176" s="16" t="s">
        <v>73</v>
      </c>
      <c r="G176" s="16" t="str">
        <f t="shared" si="2"/>
        <v>Marzo</v>
      </c>
    </row>
    <row r="177" spans="1:7" x14ac:dyDescent="0.25">
      <c r="A177" s="16" t="s">
        <v>9</v>
      </c>
      <c r="B177" s="24">
        <v>46082</v>
      </c>
      <c r="C177" s="16" t="s">
        <v>42</v>
      </c>
      <c r="D177" s="16" t="s">
        <v>127</v>
      </c>
      <c r="E177" s="17">
        <v>1050</v>
      </c>
      <c r="F177" s="16" t="s">
        <v>70</v>
      </c>
      <c r="G177" s="16" t="str">
        <f t="shared" si="2"/>
        <v>Marzo</v>
      </c>
    </row>
    <row r="178" spans="1:7" x14ac:dyDescent="0.25">
      <c r="A178" s="16" t="s">
        <v>9</v>
      </c>
      <c r="B178" s="24">
        <v>46082</v>
      </c>
      <c r="C178" s="16" t="s">
        <v>33</v>
      </c>
      <c r="D178" s="16" t="s">
        <v>146</v>
      </c>
      <c r="E178" s="17">
        <v>180</v>
      </c>
      <c r="F178" s="16" t="s">
        <v>70</v>
      </c>
      <c r="G178" s="16" t="str">
        <f t="shared" si="2"/>
        <v>Marzo</v>
      </c>
    </row>
    <row r="179" spans="1:7" x14ac:dyDescent="0.25">
      <c r="A179" s="16" t="s">
        <v>9</v>
      </c>
      <c r="B179" s="24">
        <v>46082</v>
      </c>
      <c r="C179" s="16" t="s">
        <v>33</v>
      </c>
      <c r="D179" s="16" t="s">
        <v>147</v>
      </c>
      <c r="E179" s="17">
        <v>70</v>
      </c>
      <c r="F179" s="16" t="s">
        <v>70</v>
      </c>
      <c r="G179" s="16" t="str">
        <f t="shared" si="2"/>
        <v>Marzo</v>
      </c>
    </row>
    <row r="180" spans="1:7" x14ac:dyDescent="0.25">
      <c r="A180" s="16" t="s">
        <v>9</v>
      </c>
      <c r="B180" s="24">
        <v>46082</v>
      </c>
      <c r="C180" s="16" t="s">
        <v>32</v>
      </c>
      <c r="D180" s="16" t="s">
        <v>101</v>
      </c>
      <c r="E180" s="17">
        <v>20</v>
      </c>
      <c r="F180" s="16" t="s">
        <v>70</v>
      </c>
      <c r="G180" s="16" t="str">
        <f t="shared" si="2"/>
        <v>Marzo</v>
      </c>
    </row>
    <row r="181" spans="1:7" x14ac:dyDescent="0.25">
      <c r="A181" s="16" t="s">
        <v>9</v>
      </c>
      <c r="B181" s="24">
        <v>46082</v>
      </c>
      <c r="C181" s="16" t="s">
        <v>32</v>
      </c>
      <c r="D181" s="16" t="s">
        <v>96</v>
      </c>
      <c r="E181" s="17">
        <v>121.5</v>
      </c>
      <c r="F181" s="16" t="s">
        <v>70</v>
      </c>
      <c r="G181" s="16" t="str">
        <f t="shared" si="2"/>
        <v>Marzo</v>
      </c>
    </row>
    <row r="182" spans="1:7" x14ac:dyDescent="0.25">
      <c r="A182" s="16" t="s">
        <v>9</v>
      </c>
      <c r="B182" s="24">
        <v>46082</v>
      </c>
      <c r="C182" s="16" t="s">
        <v>33</v>
      </c>
      <c r="D182" s="16" t="s">
        <v>121</v>
      </c>
      <c r="E182" s="17">
        <v>13</v>
      </c>
      <c r="F182" s="16" t="s">
        <v>70</v>
      </c>
      <c r="G182" s="16" t="str">
        <f t="shared" si="2"/>
        <v>Marzo</v>
      </c>
    </row>
    <row r="183" spans="1:7" x14ac:dyDescent="0.25">
      <c r="A183" s="16" t="s">
        <v>5</v>
      </c>
      <c r="B183" s="24">
        <v>46082</v>
      </c>
      <c r="C183" s="16" t="s">
        <v>43</v>
      </c>
      <c r="D183" s="16" t="s">
        <v>148</v>
      </c>
      <c r="E183" s="17">
        <v>80</v>
      </c>
      <c r="F183" s="16" t="s">
        <v>70</v>
      </c>
      <c r="G183" s="16" t="str">
        <f t="shared" si="2"/>
        <v>Marzo</v>
      </c>
    </row>
    <row r="184" spans="1:7" x14ac:dyDescent="0.25">
      <c r="A184" s="16" t="s">
        <v>9</v>
      </c>
      <c r="B184" s="24">
        <v>46082</v>
      </c>
      <c r="C184" s="16" t="s">
        <v>42</v>
      </c>
      <c r="D184" s="16" t="s">
        <v>149</v>
      </c>
      <c r="E184" s="17">
        <v>110</v>
      </c>
      <c r="F184" s="16" t="s">
        <v>70</v>
      </c>
      <c r="G184" s="16" t="str">
        <f t="shared" si="2"/>
        <v>Marzo</v>
      </c>
    </row>
    <row r="185" spans="1:7" x14ac:dyDescent="0.25">
      <c r="A185" s="16" t="s">
        <v>9</v>
      </c>
      <c r="B185" s="24">
        <v>46082</v>
      </c>
      <c r="C185" s="16" t="s">
        <v>33</v>
      </c>
      <c r="D185" s="16" t="s">
        <v>150</v>
      </c>
      <c r="E185" s="17">
        <v>74.7</v>
      </c>
      <c r="F185" s="16" t="s">
        <v>70</v>
      </c>
      <c r="G185" s="16" t="str">
        <f t="shared" si="2"/>
        <v>Marzo</v>
      </c>
    </row>
    <row r="186" spans="1:7" x14ac:dyDescent="0.25">
      <c r="A186" s="16" t="s">
        <v>9</v>
      </c>
      <c r="B186" s="24">
        <v>46082</v>
      </c>
      <c r="C186" s="16" t="s">
        <v>33</v>
      </c>
      <c r="D186" s="16" t="s">
        <v>151</v>
      </c>
      <c r="E186" s="17">
        <v>99</v>
      </c>
      <c r="F186" s="16" t="s">
        <v>70</v>
      </c>
      <c r="G186" s="16" t="str">
        <f t="shared" si="2"/>
        <v>Marzo</v>
      </c>
    </row>
    <row r="187" spans="1:7" x14ac:dyDescent="0.25">
      <c r="A187" s="16" t="s">
        <v>9</v>
      </c>
      <c r="B187" s="24">
        <v>46082</v>
      </c>
      <c r="C187" s="16" t="s">
        <v>33</v>
      </c>
      <c r="D187" s="16" t="s">
        <v>106</v>
      </c>
      <c r="E187" s="17">
        <v>20</v>
      </c>
      <c r="F187" s="16" t="s">
        <v>70</v>
      </c>
      <c r="G187" s="16" t="str">
        <f t="shared" si="2"/>
        <v>Marzo</v>
      </c>
    </row>
    <row r="188" spans="1:7" x14ac:dyDescent="0.25">
      <c r="A188" s="16" t="s">
        <v>9</v>
      </c>
      <c r="B188" s="24">
        <v>46082</v>
      </c>
      <c r="C188" s="16" t="s">
        <v>33</v>
      </c>
      <c r="D188" s="16" t="s">
        <v>119</v>
      </c>
      <c r="E188" s="17">
        <v>55</v>
      </c>
      <c r="F188" s="16" t="s">
        <v>70</v>
      </c>
      <c r="G188" s="16" t="str">
        <f t="shared" si="2"/>
        <v>Marzo</v>
      </c>
    </row>
    <row r="189" spans="1:7" x14ac:dyDescent="0.25">
      <c r="A189" s="16" t="s">
        <v>9</v>
      </c>
      <c r="B189" s="24">
        <v>46082</v>
      </c>
      <c r="C189" s="16" t="s">
        <v>33</v>
      </c>
      <c r="D189" s="16" t="s">
        <v>119</v>
      </c>
      <c r="E189" s="17">
        <v>40</v>
      </c>
      <c r="F189" s="16" t="s">
        <v>70</v>
      </c>
      <c r="G189" s="16" t="str">
        <f t="shared" si="2"/>
        <v>Marzo</v>
      </c>
    </row>
    <row r="190" spans="1:7" x14ac:dyDescent="0.25">
      <c r="A190" s="16" t="s">
        <v>9</v>
      </c>
      <c r="B190" s="24">
        <v>46082</v>
      </c>
      <c r="C190" s="16" t="s">
        <v>33</v>
      </c>
      <c r="D190" s="16" t="s">
        <v>152</v>
      </c>
      <c r="E190" s="17">
        <v>71.03</v>
      </c>
      <c r="F190" s="16" t="s">
        <v>73</v>
      </c>
      <c r="G190" s="16" t="str">
        <f t="shared" si="2"/>
        <v>Marzo</v>
      </c>
    </row>
    <row r="191" spans="1:7" x14ac:dyDescent="0.25">
      <c r="A191" s="16" t="s">
        <v>9</v>
      </c>
      <c r="B191" s="24">
        <v>46082</v>
      </c>
      <c r="C191" s="16" t="s">
        <v>33</v>
      </c>
      <c r="D191" s="16" t="s">
        <v>225</v>
      </c>
      <c r="E191" s="17">
        <f>3-1.09</f>
        <v>1.91</v>
      </c>
      <c r="F191" s="16" t="s">
        <v>70</v>
      </c>
      <c r="G191" s="16" t="str">
        <f t="shared" si="2"/>
        <v>Marzo</v>
      </c>
    </row>
    <row r="192" spans="1:7" x14ac:dyDescent="0.25">
      <c r="A192" s="16" t="s">
        <v>9</v>
      </c>
      <c r="B192" s="24">
        <v>46082</v>
      </c>
      <c r="C192" s="16" t="s">
        <v>33</v>
      </c>
      <c r="D192" s="16" t="s">
        <v>109</v>
      </c>
      <c r="E192" s="17">
        <v>22.8</v>
      </c>
      <c r="F192" s="16" t="s">
        <v>70</v>
      </c>
      <c r="G192" s="16" t="str">
        <f t="shared" si="2"/>
        <v>Marzo</v>
      </c>
    </row>
    <row r="193" spans="1:7" x14ac:dyDescent="0.25">
      <c r="A193" s="16" t="s">
        <v>9</v>
      </c>
      <c r="B193" s="24">
        <v>46082</v>
      </c>
      <c r="C193" s="16" t="s">
        <v>33</v>
      </c>
      <c r="D193" s="16" t="s">
        <v>109</v>
      </c>
      <c r="E193" s="17">
        <v>10</v>
      </c>
      <c r="F193" s="16" t="s">
        <v>70</v>
      </c>
      <c r="G193" s="16" t="str">
        <f t="shared" si="2"/>
        <v>Marzo</v>
      </c>
    </row>
    <row r="194" spans="1:7" x14ac:dyDescent="0.25">
      <c r="A194" s="16" t="s">
        <v>9</v>
      </c>
      <c r="B194" s="24">
        <v>46082</v>
      </c>
      <c r="C194" s="16" t="s">
        <v>33</v>
      </c>
      <c r="D194" s="16" t="s">
        <v>126</v>
      </c>
      <c r="E194" s="17">
        <v>5</v>
      </c>
      <c r="F194" s="16" t="s">
        <v>70</v>
      </c>
      <c r="G194" s="16" t="str">
        <f t="shared" ref="G194:G257" si="3">TEXT(B194,"MMMM")</f>
        <v>Marzo</v>
      </c>
    </row>
    <row r="195" spans="1:7" x14ac:dyDescent="0.25">
      <c r="A195" s="16" t="s">
        <v>9</v>
      </c>
      <c r="B195" s="24">
        <v>46082</v>
      </c>
      <c r="C195" s="16" t="s">
        <v>32</v>
      </c>
      <c r="D195" s="16" t="s">
        <v>76</v>
      </c>
      <c r="E195" s="17">
        <v>11.9</v>
      </c>
      <c r="F195" s="16" t="s">
        <v>73</v>
      </c>
      <c r="G195" s="16" t="str">
        <f t="shared" si="3"/>
        <v>Marzo</v>
      </c>
    </row>
    <row r="196" spans="1:7" x14ac:dyDescent="0.25">
      <c r="A196" s="16" t="s">
        <v>9</v>
      </c>
      <c r="B196" s="24">
        <v>46083</v>
      </c>
      <c r="C196" s="16" t="s">
        <v>32</v>
      </c>
      <c r="D196" s="16" t="s">
        <v>153</v>
      </c>
      <c r="E196" s="17">
        <v>12</v>
      </c>
      <c r="F196" s="16" t="s">
        <v>70</v>
      </c>
      <c r="G196" s="16" t="str">
        <f t="shared" si="3"/>
        <v>Marzo</v>
      </c>
    </row>
    <row r="197" spans="1:7" x14ac:dyDescent="0.25">
      <c r="A197" s="16" t="s">
        <v>9</v>
      </c>
      <c r="B197" s="24">
        <v>46084</v>
      </c>
      <c r="C197" s="16" t="s">
        <v>33</v>
      </c>
      <c r="D197" s="16" t="s">
        <v>129</v>
      </c>
      <c r="E197" s="17">
        <v>16.489999999999998</v>
      </c>
      <c r="F197" s="16" t="s">
        <v>73</v>
      </c>
      <c r="G197" s="16" t="str">
        <f t="shared" si="3"/>
        <v>Marzo</v>
      </c>
    </row>
    <row r="198" spans="1:7" x14ac:dyDescent="0.25">
      <c r="A198" s="16" t="s">
        <v>9</v>
      </c>
      <c r="B198" s="24">
        <v>46084</v>
      </c>
      <c r="C198" s="16" t="s">
        <v>33</v>
      </c>
      <c r="D198" s="16" t="s">
        <v>226</v>
      </c>
      <c r="E198" s="17">
        <v>8.48</v>
      </c>
      <c r="F198" s="16" t="s">
        <v>73</v>
      </c>
      <c r="G198" s="16" t="str">
        <f t="shared" si="3"/>
        <v>Marzo</v>
      </c>
    </row>
    <row r="199" spans="1:7" x14ac:dyDescent="0.25">
      <c r="A199" s="16" t="s">
        <v>9</v>
      </c>
      <c r="B199" s="24">
        <v>46084</v>
      </c>
      <c r="C199" s="16" t="s">
        <v>33</v>
      </c>
      <c r="D199" s="16" t="s">
        <v>115</v>
      </c>
      <c r="E199" s="17">
        <v>12.5</v>
      </c>
      <c r="F199" s="16" t="s">
        <v>70</v>
      </c>
      <c r="G199" s="16" t="str">
        <f t="shared" si="3"/>
        <v>Marzo</v>
      </c>
    </row>
    <row r="200" spans="1:7" x14ac:dyDescent="0.25">
      <c r="A200" s="16" t="s">
        <v>9</v>
      </c>
      <c r="B200" s="24">
        <v>46084</v>
      </c>
      <c r="C200" s="16" t="s">
        <v>33</v>
      </c>
      <c r="D200" s="16" t="s">
        <v>187</v>
      </c>
      <c r="E200" s="17">
        <v>17</v>
      </c>
      <c r="F200" s="16" t="s">
        <v>70</v>
      </c>
      <c r="G200" s="16" t="str">
        <f t="shared" si="3"/>
        <v>Marzo</v>
      </c>
    </row>
    <row r="201" spans="1:7" x14ac:dyDescent="0.25">
      <c r="A201" s="16" t="s">
        <v>9</v>
      </c>
      <c r="B201" s="24">
        <v>46085</v>
      </c>
      <c r="C201" s="16" t="s">
        <v>33</v>
      </c>
      <c r="D201" s="16" t="s">
        <v>138</v>
      </c>
      <c r="E201" s="17">
        <v>20</v>
      </c>
      <c r="F201" s="16" t="s">
        <v>70</v>
      </c>
      <c r="G201" s="16" t="str">
        <f t="shared" si="3"/>
        <v>Marzo</v>
      </c>
    </row>
    <row r="202" spans="1:7" x14ac:dyDescent="0.25">
      <c r="A202" s="16" t="s">
        <v>9</v>
      </c>
      <c r="B202" s="24">
        <v>46085</v>
      </c>
      <c r="C202" s="16" t="s">
        <v>33</v>
      </c>
      <c r="D202" s="16" t="s">
        <v>109</v>
      </c>
      <c r="E202" s="17">
        <v>9.09</v>
      </c>
      <c r="F202" s="16" t="s">
        <v>70</v>
      </c>
      <c r="G202" s="16" t="str">
        <f t="shared" si="3"/>
        <v>Marzo</v>
      </c>
    </row>
    <row r="203" spans="1:7" x14ac:dyDescent="0.25">
      <c r="A203" s="16" t="s">
        <v>9</v>
      </c>
      <c r="B203" s="24">
        <v>46085</v>
      </c>
      <c r="C203" s="16" t="s">
        <v>33</v>
      </c>
      <c r="D203" s="16" t="s">
        <v>227</v>
      </c>
      <c r="E203" s="17">
        <f>3.94+0.12</f>
        <v>4.0599999999999996</v>
      </c>
      <c r="F203" s="16" t="s">
        <v>73</v>
      </c>
      <c r="G203" s="16" t="str">
        <f t="shared" si="3"/>
        <v>Marzo</v>
      </c>
    </row>
    <row r="204" spans="1:7" x14ac:dyDescent="0.25">
      <c r="A204" s="16" t="s">
        <v>9</v>
      </c>
      <c r="B204" s="24">
        <v>46086</v>
      </c>
      <c r="C204" s="16" t="s">
        <v>33</v>
      </c>
      <c r="D204" s="16" t="s">
        <v>110</v>
      </c>
      <c r="E204" s="17">
        <v>3</v>
      </c>
      <c r="F204" s="16" t="s">
        <v>70</v>
      </c>
      <c r="G204" s="16" t="str">
        <f t="shared" si="3"/>
        <v>Marzo</v>
      </c>
    </row>
    <row r="205" spans="1:7" x14ac:dyDescent="0.25">
      <c r="A205" s="16" t="s">
        <v>9</v>
      </c>
      <c r="B205" s="24">
        <v>46086</v>
      </c>
      <c r="C205" s="16" t="s">
        <v>33</v>
      </c>
      <c r="D205" t="s">
        <v>154</v>
      </c>
      <c r="E205" s="17">
        <v>10</v>
      </c>
      <c r="F205" s="16" t="s">
        <v>70</v>
      </c>
      <c r="G205" s="16" t="str">
        <f t="shared" si="3"/>
        <v>Marzo</v>
      </c>
    </row>
    <row r="206" spans="1:7" x14ac:dyDescent="0.25">
      <c r="A206" s="16" t="s">
        <v>9</v>
      </c>
      <c r="B206" s="24">
        <v>46087</v>
      </c>
      <c r="C206" s="16" t="s">
        <v>42</v>
      </c>
      <c r="D206" s="16" t="s">
        <v>116</v>
      </c>
      <c r="E206" s="17">
        <v>10</v>
      </c>
      <c r="F206" s="16" t="s">
        <v>70</v>
      </c>
      <c r="G206" s="16" t="str">
        <f t="shared" si="3"/>
        <v>Marzo</v>
      </c>
    </row>
    <row r="207" spans="1:7" x14ac:dyDescent="0.25">
      <c r="A207" s="16" t="s">
        <v>9</v>
      </c>
      <c r="B207" s="24">
        <v>46088</v>
      </c>
      <c r="C207" s="16" t="s">
        <v>33</v>
      </c>
      <c r="D207" s="16" t="s">
        <v>109</v>
      </c>
      <c r="E207" s="17">
        <v>17</v>
      </c>
      <c r="F207" s="16" t="s">
        <v>70</v>
      </c>
      <c r="G207" s="16" t="str">
        <f t="shared" si="3"/>
        <v>Marzo</v>
      </c>
    </row>
    <row r="208" spans="1:7" x14ac:dyDescent="0.25">
      <c r="A208" s="16" t="s">
        <v>9</v>
      </c>
      <c r="B208" s="24">
        <v>46088</v>
      </c>
      <c r="C208" s="16" t="s">
        <v>33</v>
      </c>
      <c r="D208" s="16" t="s">
        <v>227</v>
      </c>
      <c r="E208" s="17">
        <v>2</v>
      </c>
      <c r="F208" s="16" t="s">
        <v>70</v>
      </c>
      <c r="G208" s="16" t="str">
        <f t="shared" si="3"/>
        <v>Marzo</v>
      </c>
    </row>
    <row r="209" spans="1:7" x14ac:dyDescent="0.25">
      <c r="A209" s="16" t="s">
        <v>9</v>
      </c>
      <c r="B209" s="24">
        <v>46088</v>
      </c>
      <c r="C209" s="16" t="s">
        <v>33</v>
      </c>
      <c r="D209" s="16" t="s">
        <v>119</v>
      </c>
      <c r="E209" s="17">
        <v>50</v>
      </c>
      <c r="F209" s="16" t="s">
        <v>70</v>
      </c>
      <c r="G209" s="16" t="str">
        <f t="shared" si="3"/>
        <v>Marzo</v>
      </c>
    </row>
    <row r="210" spans="1:7" x14ac:dyDescent="0.25">
      <c r="A210" s="16" t="s">
        <v>9</v>
      </c>
      <c r="B210" s="24">
        <v>46088</v>
      </c>
      <c r="C210" s="16" t="s">
        <v>33</v>
      </c>
      <c r="D210" s="16" t="s">
        <v>118</v>
      </c>
      <c r="E210" s="17">
        <v>50</v>
      </c>
      <c r="F210" s="16" t="s">
        <v>70</v>
      </c>
      <c r="G210" s="16" t="str">
        <f t="shared" si="3"/>
        <v>Marzo</v>
      </c>
    </row>
    <row r="211" spans="1:7" x14ac:dyDescent="0.25">
      <c r="A211" s="16" t="s">
        <v>9</v>
      </c>
      <c r="B211" s="24">
        <v>46088</v>
      </c>
      <c r="C211" s="16" t="s">
        <v>33</v>
      </c>
      <c r="D211" s="16" t="s">
        <v>227</v>
      </c>
      <c r="E211" s="17">
        <v>6</v>
      </c>
      <c r="F211" s="16" t="s">
        <v>73</v>
      </c>
      <c r="G211" s="16" t="str">
        <f t="shared" si="3"/>
        <v>Marzo</v>
      </c>
    </row>
    <row r="212" spans="1:7" x14ac:dyDescent="0.25">
      <c r="A212" s="16" t="s">
        <v>9</v>
      </c>
      <c r="B212" s="24">
        <v>46089</v>
      </c>
      <c r="C212" s="16" t="s">
        <v>33</v>
      </c>
      <c r="D212" s="16" t="s">
        <v>107</v>
      </c>
      <c r="E212" s="17">
        <v>70</v>
      </c>
      <c r="F212" s="16" t="s">
        <v>70</v>
      </c>
      <c r="G212" s="16" t="str">
        <f t="shared" si="3"/>
        <v>Marzo</v>
      </c>
    </row>
    <row r="213" spans="1:7" x14ac:dyDescent="0.25">
      <c r="A213" s="16" t="s">
        <v>9</v>
      </c>
      <c r="B213" s="24">
        <v>46090</v>
      </c>
      <c r="C213" s="16" t="s">
        <v>33</v>
      </c>
      <c r="D213" s="16" t="s">
        <v>226</v>
      </c>
      <c r="E213" s="17">
        <v>20</v>
      </c>
      <c r="F213" s="16" t="s">
        <v>70</v>
      </c>
      <c r="G213" s="16" t="str">
        <f t="shared" si="3"/>
        <v>Marzo</v>
      </c>
    </row>
    <row r="214" spans="1:7" x14ac:dyDescent="0.25">
      <c r="A214" s="16" t="s">
        <v>9</v>
      </c>
      <c r="B214" s="24">
        <v>46090</v>
      </c>
      <c r="C214" s="16" t="s">
        <v>33</v>
      </c>
      <c r="D214" s="16" t="s">
        <v>109</v>
      </c>
      <c r="E214" s="17">
        <v>12</v>
      </c>
      <c r="F214" s="16" t="s">
        <v>70</v>
      </c>
      <c r="G214" s="16" t="str">
        <f t="shared" si="3"/>
        <v>Marzo</v>
      </c>
    </row>
    <row r="215" spans="1:7" x14ac:dyDescent="0.25">
      <c r="A215" s="16" t="s">
        <v>9</v>
      </c>
      <c r="B215" s="24">
        <v>46091</v>
      </c>
      <c r="C215" s="16" t="s">
        <v>33</v>
      </c>
      <c r="D215" s="16" t="s">
        <v>106</v>
      </c>
      <c r="E215" s="17">
        <v>40</v>
      </c>
      <c r="F215" s="16" t="s">
        <v>70</v>
      </c>
      <c r="G215" s="16" t="str">
        <f t="shared" si="3"/>
        <v>Marzo</v>
      </c>
    </row>
    <row r="216" spans="1:7" x14ac:dyDescent="0.25">
      <c r="A216" s="16" t="s">
        <v>9</v>
      </c>
      <c r="B216" s="24">
        <v>46091</v>
      </c>
      <c r="C216" s="16" t="s">
        <v>33</v>
      </c>
      <c r="D216" s="16" t="s">
        <v>129</v>
      </c>
      <c r="E216" s="17">
        <f>7.11-0.48</f>
        <v>6.6300000000000008</v>
      </c>
      <c r="F216" s="16" t="s">
        <v>73</v>
      </c>
      <c r="G216" s="16" t="str">
        <f t="shared" si="3"/>
        <v>Marzo</v>
      </c>
    </row>
    <row r="217" spans="1:7" x14ac:dyDescent="0.25">
      <c r="A217" s="16" t="s">
        <v>9</v>
      </c>
      <c r="B217" s="24">
        <v>46091</v>
      </c>
      <c r="C217" s="16" t="s">
        <v>33</v>
      </c>
      <c r="D217" s="16" t="s">
        <v>110</v>
      </c>
      <c r="E217" s="17">
        <v>16.98</v>
      </c>
      <c r="F217" s="16" t="s">
        <v>70</v>
      </c>
      <c r="G217" s="16" t="str">
        <f t="shared" si="3"/>
        <v>Marzo</v>
      </c>
    </row>
    <row r="218" spans="1:7" x14ac:dyDescent="0.25">
      <c r="A218" s="16" t="s">
        <v>9</v>
      </c>
      <c r="B218" s="24">
        <v>46095</v>
      </c>
      <c r="C218" s="16" t="s">
        <v>32</v>
      </c>
      <c r="D218" s="16" t="s">
        <v>98</v>
      </c>
      <c r="E218" s="17">
        <v>4.0199999999999996</v>
      </c>
      <c r="F218" s="16" t="s">
        <v>70</v>
      </c>
      <c r="G218" s="16" t="str">
        <f t="shared" si="3"/>
        <v>Marzo</v>
      </c>
    </row>
    <row r="219" spans="1:7" x14ac:dyDescent="0.25">
      <c r="A219" s="16" t="s">
        <v>9</v>
      </c>
      <c r="B219" s="24">
        <v>46096</v>
      </c>
      <c r="C219" s="16" t="s">
        <v>63</v>
      </c>
      <c r="D219" s="16" t="s">
        <v>120</v>
      </c>
      <c r="E219" s="17">
        <v>60.36</v>
      </c>
      <c r="F219" s="16" t="s">
        <v>70</v>
      </c>
      <c r="G219" s="16" t="str">
        <f t="shared" si="3"/>
        <v>Marzo</v>
      </c>
    </row>
    <row r="220" spans="1:7" x14ac:dyDescent="0.25">
      <c r="A220" s="16" t="s">
        <v>9</v>
      </c>
      <c r="B220" s="24">
        <v>46096</v>
      </c>
      <c r="C220" s="16" t="s">
        <v>32</v>
      </c>
      <c r="D220" s="16" t="s">
        <v>99</v>
      </c>
      <c r="E220" s="17">
        <v>39.9</v>
      </c>
      <c r="F220" s="16" t="s">
        <v>73</v>
      </c>
      <c r="G220" s="16" t="str">
        <f t="shared" si="3"/>
        <v>Marzo</v>
      </c>
    </row>
    <row r="221" spans="1:7" x14ac:dyDescent="0.25">
      <c r="A221" s="16" t="s">
        <v>5</v>
      </c>
      <c r="B221" s="24">
        <v>46096</v>
      </c>
      <c r="C221" s="16" t="s">
        <v>43</v>
      </c>
      <c r="D221" s="16" t="s">
        <v>141</v>
      </c>
      <c r="E221" s="17">
        <v>100</v>
      </c>
      <c r="F221" s="16" t="s">
        <v>70</v>
      </c>
      <c r="G221" s="16" t="str">
        <f t="shared" si="3"/>
        <v>Marzo</v>
      </c>
    </row>
    <row r="222" spans="1:7" x14ac:dyDescent="0.25">
      <c r="A222" s="16" t="s">
        <v>5</v>
      </c>
      <c r="B222" s="24">
        <v>46096</v>
      </c>
      <c r="C222" s="16" t="s">
        <v>43</v>
      </c>
      <c r="D222" s="16" t="s">
        <v>155</v>
      </c>
      <c r="E222" s="17">
        <v>80</v>
      </c>
      <c r="F222" s="16" t="s">
        <v>70</v>
      </c>
      <c r="G222" s="16" t="str">
        <f t="shared" si="3"/>
        <v>Marzo</v>
      </c>
    </row>
    <row r="223" spans="1:7" x14ac:dyDescent="0.25">
      <c r="A223" s="16" t="s">
        <v>9</v>
      </c>
      <c r="B223" s="24">
        <v>46102</v>
      </c>
      <c r="C223" s="16" t="s">
        <v>33</v>
      </c>
      <c r="D223" s="16" t="s">
        <v>156</v>
      </c>
      <c r="E223" s="17">
        <f>92.8+22.9</f>
        <v>115.69999999999999</v>
      </c>
      <c r="F223" s="16" t="s">
        <v>70</v>
      </c>
      <c r="G223" s="16" t="str">
        <f t="shared" si="3"/>
        <v>Marzo</v>
      </c>
    </row>
    <row r="224" spans="1:7" x14ac:dyDescent="0.25">
      <c r="A224" s="16" t="s">
        <v>9</v>
      </c>
      <c r="B224" s="24">
        <v>46102</v>
      </c>
      <c r="C224" s="16" t="s">
        <v>33</v>
      </c>
      <c r="D224" s="16" t="s">
        <v>109</v>
      </c>
      <c r="E224" s="17">
        <v>22.94</v>
      </c>
      <c r="F224" s="16" t="s">
        <v>70</v>
      </c>
      <c r="G224" s="16" t="str">
        <f t="shared" si="3"/>
        <v>Marzo</v>
      </c>
    </row>
    <row r="225" spans="1:7" x14ac:dyDescent="0.25">
      <c r="A225" s="16" t="s">
        <v>9</v>
      </c>
      <c r="B225" s="24">
        <v>46105</v>
      </c>
      <c r="C225" s="16" t="s">
        <v>33</v>
      </c>
      <c r="D225" s="16" t="s">
        <v>106</v>
      </c>
      <c r="E225" s="17">
        <v>3.5</v>
      </c>
      <c r="F225" s="16" t="s">
        <v>70</v>
      </c>
      <c r="G225" s="16" t="str">
        <f t="shared" si="3"/>
        <v>Marzo</v>
      </c>
    </row>
    <row r="226" spans="1:7" x14ac:dyDescent="0.25">
      <c r="A226" s="16" t="s">
        <v>9</v>
      </c>
      <c r="B226" s="24">
        <v>46105</v>
      </c>
      <c r="C226" s="16" t="s">
        <v>33</v>
      </c>
      <c r="D226" s="16" t="s">
        <v>157</v>
      </c>
      <c r="E226" s="17">
        <f>4.99+1.79</f>
        <v>6.78</v>
      </c>
      <c r="F226" s="16" t="s">
        <v>73</v>
      </c>
      <c r="G226" s="16" t="str">
        <f t="shared" si="3"/>
        <v>Marzo</v>
      </c>
    </row>
    <row r="227" spans="1:7" x14ac:dyDescent="0.25">
      <c r="A227" s="16" t="s">
        <v>9</v>
      </c>
      <c r="B227" s="24">
        <v>46107</v>
      </c>
      <c r="C227" s="16" t="s">
        <v>33</v>
      </c>
      <c r="D227" s="16" t="s">
        <v>106</v>
      </c>
      <c r="E227" s="17">
        <v>6</v>
      </c>
      <c r="F227" s="16" t="s">
        <v>70</v>
      </c>
      <c r="G227" s="16" t="str">
        <f t="shared" si="3"/>
        <v>Marzo</v>
      </c>
    </row>
    <row r="228" spans="1:7" x14ac:dyDescent="0.25">
      <c r="A228" s="16" t="s">
        <v>5</v>
      </c>
      <c r="B228" s="24">
        <v>46113</v>
      </c>
      <c r="C228" s="16" t="s">
        <v>43</v>
      </c>
      <c r="D228" s="16" t="s">
        <v>92</v>
      </c>
      <c r="E228" s="17">
        <f>10.52+4.31+27.21</f>
        <v>42.04</v>
      </c>
      <c r="F228" s="16" t="s">
        <v>70</v>
      </c>
      <c r="G228" s="16" t="str">
        <f t="shared" si="3"/>
        <v>Abril</v>
      </c>
    </row>
    <row r="229" spans="1:7" x14ac:dyDescent="0.25">
      <c r="A229" s="16" t="s">
        <v>5</v>
      </c>
      <c r="B229" s="24">
        <v>46113</v>
      </c>
      <c r="C229" s="16" t="s">
        <v>6</v>
      </c>
      <c r="D229" s="16" t="s">
        <v>6</v>
      </c>
      <c r="E229" s="17">
        <v>2259.63</v>
      </c>
      <c r="F229" s="16" t="s">
        <v>70</v>
      </c>
      <c r="G229" s="16" t="str">
        <f t="shared" si="3"/>
        <v>Abril</v>
      </c>
    </row>
    <row r="230" spans="1:7" x14ac:dyDescent="0.25">
      <c r="A230" s="16" t="s">
        <v>9</v>
      </c>
      <c r="B230" s="24">
        <v>46113</v>
      </c>
      <c r="C230" s="16" t="s">
        <v>32</v>
      </c>
      <c r="D230" s="16" t="s">
        <v>158</v>
      </c>
      <c r="E230" s="17">
        <v>1010</v>
      </c>
      <c r="F230" s="16" t="s">
        <v>70</v>
      </c>
      <c r="G230" s="16" t="str">
        <f t="shared" si="3"/>
        <v>Abril</v>
      </c>
    </row>
    <row r="231" spans="1:7" x14ac:dyDescent="0.25">
      <c r="A231" s="16" t="s">
        <v>9</v>
      </c>
      <c r="B231" s="24">
        <v>46113</v>
      </c>
      <c r="C231" s="16" t="s">
        <v>32</v>
      </c>
      <c r="D231" s="16" t="s">
        <v>158</v>
      </c>
      <c r="E231" s="17">
        <v>20</v>
      </c>
      <c r="F231" s="16" t="s">
        <v>70</v>
      </c>
      <c r="G231" s="16" t="str">
        <f t="shared" si="3"/>
        <v>Abril</v>
      </c>
    </row>
    <row r="232" spans="1:7" x14ac:dyDescent="0.25">
      <c r="A232" s="16" t="s">
        <v>9</v>
      </c>
      <c r="B232" s="24">
        <v>46113</v>
      </c>
      <c r="C232" s="16" t="s">
        <v>63</v>
      </c>
      <c r="D232" s="16" t="s">
        <v>159</v>
      </c>
      <c r="E232" s="17">
        <v>245.75</v>
      </c>
      <c r="F232" s="16" t="s">
        <v>70</v>
      </c>
      <c r="G232" s="16" t="str">
        <f t="shared" si="3"/>
        <v>Abril</v>
      </c>
    </row>
    <row r="233" spans="1:7" x14ac:dyDescent="0.25">
      <c r="A233" s="16" t="s">
        <v>5</v>
      </c>
      <c r="B233" s="24">
        <v>46113</v>
      </c>
      <c r="C233" s="16" t="s">
        <v>103</v>
      </c>
      <c r="D233" s="16" t="s">
        <v>104</v>
      </c>
      <c r="E233" s="17">
        <v>1000</v>
      </c>
      <c r="F233" s="16" t="s">
        <v>73</v>
      </c>
      <c r="G233" s="16" t="str">
        <f t="shared" si="3"/>
        <v>Abril</v>
      </c>
    </row>
    <row r="234" spans="1:7" x14ac:dyDescent="0.25">
      <c r="A234" s="16" t="s">
        <v>9</v>
      </c>
      <c r="B234" s="24">
        <v>46113</v>
      </c>
      <c r="C234" s="16" t="s">
        <v>33</v>
      </c>
      <c r="D234" s="16" t="s">
        <v>160</v>
      </c>
      <c r="E234" s="17">
        <v>80</v>
      </c>
      <c r="F234" s="16" t="s">
        <v>70</v>
      </c>
      <c r="G234" s="16" t="str">
        <f t="shared" si="3"/>
        <v>Abril</v>
      </c>
    </row>
    <row r="235" spans="1:7" x14ac:dyDescent="0.25">
      <c r="A235" s="16" t="s">
        <v>9</v>
      </c>
      <c r="B235" s="24">
        <v>46113</v>
      </c>
      <c r="C235" s="16" t="s">
        <v>33</v>
      </c>
      <c r="D235" s="16" t="s">
        <v>161</v>
      </c>
      <c r="E235" s="17">
        <v>195</v>
      </c>
      <c r="F235" s="16" t="s">
        <v>70</v>
      </c>
      <c r="G235" s="16" t="str">
        <f t="shared" si="3"/>
        <v>Abril</v>
      </c>
    </row>
    <row r="236" spans="1:7" x14ac:dyDescent="0.25">
      <c r="A236" s="16" t="s">
        <v>9</v>
      </c>
      <c r="B236" s="24">
        <v>46113</v>
      </c>
      <c r="C236" s="16" t="s">
        <v>33</v>
      </c>
      <c r="D236" s="16" t="s">
        <v>109</v>
      </c>
      <c r="E236" s="17">
        <v>18</v>
      </c>
      <c r="F236" s="16" t="s">
        <v>70</v>
      </c>
      <c r="G236" s="16" t="str">
        <f t="shared" si="3"/>
        <v>Abril</v>
      </c>
    </row>
    <row r="237" spans="1:7" x14ac:dyDescent="0.25">
      <c r="A237" s="16" t="s">
        <v>9</v>
      </c>
      <c r="B237" s="24">
        <v>46113</v>
      </c>
      <c r="C237" s="16" t="s">
        <v>33</v>
      </c>
      <c r="D237" s="16" t="s">
        <v>108</v>
      </c>
      <c r="E237" s="17">
        <f>40.5-3.87</f>
        <v>36.630000000000003</v>
      </c>
      <c r="F237" s="16" t="s">
        <v>73</v>
      </c>
      <c r="G237" s="16" t="str">
        <f t="shared" si="3"/>
        <v>Abril</v>
      </c>
    </row>
    <row r="238" spans="1:7" x14ac:dyDescent="0.25">
      <c r="A238" s="16" t="s">
        <v>9</v>
      </c>
      <c r="B238" s="24">
        <v>46113</v>
      </c>
      <c r="C238" s="16" t="s">
        <v>33</v>
      </c>
      <c r="D238" t="s">
        <v>97</v>
      </c>
      <c r="E238" s="17">
        <v>12</v>
      </c>
      <c r="F238" s="16" t="s">
        <v>70</v>
      </c>
      <c r="G238" s="16" t="str">
        <f t="shared" si="3"/>
        <v>Abril</v>
      </c>
    </row>
    <row r="239" spans="1:7" x14ac:dyDescent="0.25">
      <c r="A239" s="16" t="s">
        <v>9</v>
      </c>
      <c r="B239" s="24">
        <v>46113</v>
      </c>
      <c r="C239" s="16" t="s">
        <v>32</v>
      </c>
      <c r="D239" s="16" t="s">
        <v>93</v>
      </c>
      <c r="E239" s="17">
        <v>79</v>
      </c>
      <c r="F239" s="16" t="s">
        <v>73</v>
      </c>
      <c r="G239" s="16" t="str">
        <f t="shared" si="3"/>
        <v>Abril</v>
      </c>
    </row>
    <row r="240" spans="1:7" x14ac:dyDescent="0.25">
      <c r="A240" s="16" t="s">
        <v>9</v>
      </c>
      <c r="B240" s="24">
        <v>46113</v>
      </c>
      <c r="C240" s="16" t="s">
        <v>33</v>
      </c>
      <c r="D240" s="16" t="s">
        <v>162</v>
      </c>
      <c r="E240" s="17">
        <v>135</v>
      </c>
      <c r="F240" s="16" t="s">
        <v>70</v>
      </c>
      <c r="G240" s="16" t="str">
        <f t="shared" si="3"/>
        <v>Abril</v>
      </c>
    </row>
    <row r="241" spans="1:7" x14ac:dyDescent="0.25">
      <c r="A241" s="16" t="s">
        <v>9</v>
      </c>
      <c r="B241" s="24">
        <v>46113</v>
      </c>
      <c r="C241" s="16" t="s">
        <v>33</v>
      </c>
      <c r="D241" s="16" t="s">
        <v>109</v>
      </c>
      <c r="E241" s="17">
        <v>13.5</v>
      </c>
      <c r="F241" s="16" t="s">
        <v>70</v>
      </c>
      <c r="G241" s="16" t="str">
        <f t="shared" si="3"/>
        <v>Abril</v>
      </c>
    </row>
    <row r="242" spans="1:7" x14ac:dyDescent="0.25">
      <c r="A242" s="16" t="s">
        <v>9</v>
      </c>
      <c r="B242" s="24">
        <v>46113</v>
      </c>
      <c r="C242" s="16" t="s">
        <v>33</v>
      </c>
      <c r="D242" s="16" t="s">
        <v>163</v>
      </c>
      <c r="E242" s="17">
        <v>60</v>
      </c>
      <c r="F242" s="16" t="s">
        <v>70</v>
      </c>
      <c r="G242" s="16" t="str">
        <f t="shared" si="3"/>
        <v>Abril</v>
      </c>
    </row>
    <row r="243" spans="1:7" x14ac:dyDescent="0.25">
      <c r="A243" s="16" t="s">
        <v>9</v>
      </c>
      <c r="B243" s="24">
        <v>46113</v>
      </c>
      <c r="C243" s="16" t="s">
        <v>32</v>
      </c>
      <c r="D243" s="16" t="s">
        <v>94</v>
      </c>
      <c r="E243" s="17">
        <v>101.5</v>
      </c>
      <c r="F243" s="16" t="s">
        <v>73</v>
      </c>
      <c r="G243" s="16" t="str">
        <f t="shared" si="3"/>
        <v>Abril</v>
      </c>
    </row>
    <row r="244" spans="1:7" x14ac:dyDescent="0.25">
      <c r="A244" s="16" t="s">
        <v>9</v>
      </c>
      <c r="B244" s="24">
        <v>46113</v>
      </c>
      <c r="C244" s="16" t="s">
        <v>32</v>
      </c>
      <c r="D244" s="16" t="s">
        <v>95</v>
      </c>
      <c r="E244" s="17">
        <v>14.1</v>
      </c>
      <c r="F244" s="16" t="s">
        <v>73</v>
      </c>
      <c r="G244" s="16" t="str">
        <f t="shared" si="3"/>
        <v>Abril</v>
      </c>
    </row>
    <row r="245" spans="1:7" x14ac:dyDescent="0.25">
      <c r="A245" s="16" t="s">
        <v>9</v>
      </c>
      <c r="B245" s="24">
        <v>46113</v>
      </c>
      <c r="C245" s="16" t="s">
        <v>32</v>
      </c>
      <c r="D245" s="16" t="s">
        <v>101</v>
      </c>
      <c r="E245" s="17">
        <v>20</v>
      </c>
      <c r="F245" s="16" t="s">
        <v>70</v>
      </c>
      <c r="G245" s="16" t="str">
        <f t="shared" si="3"/>
        <v>Abril</v>
      </c>
    </row>
    <row r="246" spans="1:7" x14ac:dyDescent="0.25">
      <c r="A246" s="16" t="s">
        <v>9</v>
      </c>
      <c r="B246" s="24">
        <v>46113</v>
      </c>
      <c r="C246" s="16" t="s">
        <v>42</v>
      </c>
      <c r="D246" s="16" t="s">
        <v>164</v>
      </c>
      <c r="E246" s="17">
        <v>20</v>
      </c>
      <c r="F246" s="16" t="s">
        <v>70</v>
      </c>
      <c r="G246" s="16" t="str">
        <f t="shared" si="3"/>
        <v>Abril</v>
      </c>
    </row>
    <row r="247" spans="1:7" x14ac:dyDescent="0.25">
      <c r="A247" s="16" t="s">
        <v>9</v>
      </c>
      <c r="B247" s="24">
        <v>46113</v>
      </c>
      <c r="C247" s="16" t="s">
        <v>33</v>
      </c>
      <c r="D247" t="s">
        <v>97</v>
      </c>
      <c r="E247" s="17">
        <v>22</v>
      </c>
      <c r="F247" s="16" t="s">
        <v>70</v>
      </c>
      <c r="G247" s="16" t="str">
        <f t="shared" si="3"/>
        <v>Abril</v>
      </c>
    </row>
    <row r="248" spans="1:7" x14ac:dyDescent="0.25">
      <c r="A248" s="16" t="s">
        <v>9</v>
      </c>
      <c r="B248" s="24">
        <v>46113</v>
      </c>
      <c r="C248" s="16" t="s">
        <v>32</v>
      </c>
      <c r="D248" s="16" t="s">
        <v>76</v>
      </c>
      <c r="E248" s="17">
        <v>11.91</v>
      </c>
      <c r="F248" s="16" t="s">
        <v>73</v>
      </c>
      <c r="G248" s="16" t="str">
        <f t="shared" si="3"/>
        <v>Abril</v>
      </c>
    </row>
    <row r="249" spans="1:7" x14ac:dyDescent="0.25">
      <c r="A249" s="16" t="s">
        <v>9</v>
      </c>
      <c r="B249" s="24">
        <v>46113</v>
      </c>
      <c r="C249" s="16" t="s">
        <v>33</v>
      </c>
      <c r="D249" s="16" t="s">
        <v>106</v>
      </c>
      <c r="E249" s="17">
        <v>29.5</v>
      </c>
      <c r="F249" s="16" t="s">
        <v>70</v>
      </c>
      <c r="G249" s="16" t="str">
        <f t="shared" si="3"/>
        <v>Abril</v>
      </c>
    </row>
    <row r="250" spans="1:7" x14ac:dyDescent="0.25">
      <c r="A250" s="16" t="s">
        <v>9</v>
      </c>
      <c r="B250" s="24">
        <v>46113</v>
      </c>
      <c r="C250" s="16" t="s">
        <v>32</v>
      </c>
      <c r="D250" s="16" t="s">
        <v>96</v>
      </c>
      <c r="E250" s="17">
        <v>117.3</v>
      </c>
      <c r="F250" s="16" t="s">
        <v>70</v>
      </c>
      <c r="G250" s="16" t="str">
        <f t="shared" si="3"/>
        <v>Abril</v>
      </c>
    </row>
    <row r="251" spans="1:7" x14ac:dyDescent="0.25">
      <c r="A251" s="16" t="s">
        <v>9</v>
      </c>
      <c r="B251" s="24">
        <v>46114</v>
      </c>
      <c r="C251" s="16" t="s">
        <v>33</v>
      </c>
      <c r="D251" s="16" t="s">
        <v>151</v>
      </c>
      <c r="E251" s="17">
        <v>55.89</v>
      </c>
      <c r="F251" s="16" t="s">
        <v>73</v>
      </c>
      <c r="G251" s="16" t="str">
        <f t="shared" si="3"/>
        <v>Abril</v>
      </c>
    </row>
    <row r="252" spans="1:7" x14ac:dyDescent="0.25">
      <c r="A252" s="16" t="s">
        <v>9</v>
      </c>
      <c r="B252" s="24">
        <v>46114</v>
      </c>
      <c r="C252" s="16" t="s">
        <v>33</v>
      </c>
      <c r="D252" s="16" t="s">
        <v>165</v>
      </c>
      <c r="E252" s="17">
        <v>122.6</v>
      </c>
      <c r="F252" s="16" t="s">
        <v>73</v>
      </c>
      <c r="G252" s="16" t="str">
        <f t="shared" si="3"/>
        <v>Abril</v>
      </c>
    </row>
    <row r="253" spans="1:7" x14ac:dyDescent="0.25">
      <c r="A253" s="16" t="s">
        <v>9</v>
      </c>
      <c r="B253" s="24">
        <v>46114</v>
      </c>
      <c r="C253" s="16" t="s">
        <v>33</v>
      </c>
      <c r="D253" s="16" t="s">
        <v>109</v>
      </c>
      <c r="E253" s="17">
        <v>22</v>
      </c>
      <c r="F253" s="16" t="s">
        <v>73</v>
      </c>
      <c r="G253" s="16" t="str">
        <f t="shared" si="3"/>
        <v>Abril</v>
      </c>
    </row>
    <row r="254" spans="1:7" x14ac:dyDescent="0.25">
      <c r="A254" s="16" t="s">
        <v>9</v>
      </c>
      <c r="B254" s="24">
        <v>46115</v>
      </c>
      <c r="C254" s="16" t="s">
        <v>33</v>
      </c>
      <c r="D254" s="16" t="s">
        <v>161</v>
      </c>
      <c r="E254" s="17">
        <v>58.8</v>
      </c>
      <c r="F254" s="16" t="s">
        <v>70</v>
      </c>
      <c r="G254" s="16" t="str">
        <f t="shared" si="3"/>
        <v>Abril</v>
      </c>
    </row>
    <row r="255" spans="1:7" x14ac:dyDescent="0.25">
      <c r="A255" s="16" t="s">
        <v>9</v>
      </c>
      <c r="B255" s="24">
        <v>46115</v>
      </c>
      <c r="C255" s="16" t="s">
        <v>33</v>
      </c>
      <c r="D255" s="16" t="s">
        <v>161</v>
      </c>
      <c r="E255" s="17">
        <v>19.7</v>
      </c>
      <c r="F255" s="16" t="s">
        <v>73</v>
      </c>
      <c r="G255" s="16" t="str">
        <f t="shared" si="3"/>
        <v>Abril</v>
      </c>
    </row>
    <row r="256" spans="1:7" x14ac:dyDescent="0.25">
      <c r="A256" s="16" t="s">
        <v>9</v>
      </c>
      <c r="B256" s="24">
        <v>46116</v>
      </c>
      <c r="C256" s="16" t="s">
        <v>33</v>
      </c>
      <c r="D256" s="16" t="s">
        <v>161</v>
      </c>
      <c r="E256" s="17">
        <v>88.75</v>
      </c>
      <c r="F256" s="16" t="s">
        <v>73</v>
      </c>
      <c r="G256" s="16" t="str">
        <f t="shared" si="3"/>
        <v>Abril</v>
      </c>
    </row>
    <row r="257" spans="1:7" x14ac:dyDescent="0.25">
      <c r="A257" s="16" t="s">
        <v>9</v>
      </c>
      <c r="B257" s="24">
        <v>46116</v>
      </c>
      <c r="C257" s="16" t="s">
        <v>33</v>
      </c>
      <c r="D257" s="16" t="s">
        <v>161</v>
      </c>
      <c r="E257" s="17">
        <v>24</v>
      </c>
      <c r="F257" s="16" t="s">
        <v>70</v>
      </c>
      <c r="G257" s="16" t="str">
        <f t="shared" si="3"/>
        <v>Abril</v>
      </c>
    </row>
    <row r="258" spans="1:7" x14ac:dyDescent="0.25">
      <c r="A258" s="16" t="s">
        <v>9</v>
      </c>
      <c r="B258" s="24">
        <v>46117</v>
      </c>
      <c r="C258" s="16" t="s">
        <v>33</v>
      </c>
      <c r="D258" s="16" t="s">
        <v>161</v>
      </c>
      <c r="E258" s="17">
        <v>104.8</v>
      </c>
      <c r="F258" s="16" t="s">
        <v>70</v>
      </c>
      <c r="G258" s="16" t="str">
        <f t="shared" ref="G258:G288" si="4">TEXT(B258,"MMMM")</f>
        <v>Abril</v>
      </c>
    </row>
    <row r="259" spans="1:7" x14ac:dyDescent="0.25">
      <c r="A259" s="16" t="s">
        <v>9</v>
      </c>
      <c r="B259" s="24">
        <v>46118</v>
      </c>
      <c r="C259" s="16" t="s">
        <v>33</v>
      </c>
      <c r="D259" s="16" t="s">
        <v>161</v>
      </c>
      <c r="E259" s="17">
        <v>36</v>
      </c>
      <c r="F259" s="16" t="s">
        <v>70</v>
      </c>
      <c r="G259" s="16" t="str">
        <f t="shared" si="4"/>
        <v>Abril</v>
      </c>
    </row>
    <row r="260" spans="1:7" x14ac:dyDescent="0.25">
      <c r="A260" s="16" t="s">
        <v>9</v>
      </c>
      <c r="B260" s="24">
        <v>46118</v>
      </c>
      <c r="C260" s="16" t="s">
        <v>42</v>
      </c>
      <c r="D260" s="16" t="s">
        <v>116</v>
      </c>
      <c r="E260" s="17">
        <v>50</v>
      </c>
      <c r="F260" s="16" t="s">
        <v>70</v>
      </c>
      <c r="G260" s="16" t="str">
        <f t="shared" si="4"/>
        <v>Abril</v>
      </c>
    </row>
    <row r="261" spans="1:7" x14ac:dyDescent="0.25">
      <c r="A261" s="16" t="s">
        <v>9</v>
      </c>
      <c r="B261" s="24">
        <v>46127</v>
      </c>
      <c r="C261" s="16" t="s">
        <v>32</v>
      </c>
      <c r="D261" s="16" t="s">
        <v>99</v>
      </c>
      <c r="E261" s="17">
        <v>39.9</v>
      </c>
      <c r="F261" s="16" t="s">
        <v>73</v>
      </c>
      <c r="G261" s="16" t="str">
        <f t="shared" si="4"/>
        <v>Abril</v>
      </c>
    </row>
    <row r="262" spans="1:7" x14ac:dyDescent="0.25">
      <c r="A262" s="16" t="s">
        <v>9</v>
      </c>
      <c r="B262" s="24">
        <v>46119</v>
      </c>
      <c r="C262" s="16" t="s">
        <v>33</v>
      </c>
      <c r="D262" s="16" t="s">
        <v>161</v>
      </c>
      <c r="E262" s="17">
        <v>10.4</v>
      </c>
      <c r="F262" s="16" t="s">
        <v>70</v>
      </c>
      <c r="G262" s="16" t="str">
        <f t="shared" si="4"/>
        <v>Abril</v>
      </c>
    </row>
    <row r="263" spans="1:7" x14ac:dyDescent="0.25">
      <c r="A263" s="16" t="s">
        <v>9</v>
      </c>
      <c r="B263" s="24">
        <v>46120</v>
      </c>
      <c r="C263" s="16" t="s">
        <v>33</v>
      </c>
      <c r="D263" s="16" t="s">
        <v>129</v>
      </c>
      <c r="E263" s="17">
        <v>55.72</v>
      </c>
      <c r="F263" s="16" t="s">
        <v>73</v>
      </c>
      <c r="G263" s="16" t="str">
        <f t="shared" si="4"/>
        <v>Abril</v>
      </c>
    </row>
    <row r="264" spans="1:7" x14ac:dyDescent="0.25">
      <c r="A264" s="16" t="s">
        <v>9</v>
      </c>
      <c r="B264" s="24">
        <v>46121</v>
      </c>
      <c r="C264" s="16" t="s">
        <v>33</v>
      </c>
      <c r="D264" s="16" t="s">
        <v>227</v>
      </c>
      <c r="E264" s="17">
        <v>7.5</v>
      </c>
      <c r="F264" s="16" t="s">
        <v>70</v>
      </c>
      <c r="G264" s="16" t="str">
        <f t="shared" si="4"/>
        <v>Abril</v>
      </c>
    </row>
    <row r="265" spans="1:7" x14ac:dyDescent="0.25">
      <c r="A265" s="16" t="s">
        <v>9</v>
      </c>
      <c r="B265" s="24">
        <v>46121</v>
      </c>
      <c r="C265" s="16" t="s">
        <v>33</v>
      </c>
      <c r="D265" s="16" t="s">
        <v>166</v>
      </c>
      <c r="E265" s="17">
        <v>32</v>
      </c>
      <c r="F265" s="16" t="s">
        <v>73</v>
      </c>
      <c r="G265" s="16" t="str">
        <f t="shared" si="4"/>
        <v>Abril</v>
      </c>
    </row>
    <row r="266" spans="1:7" x14ac:dyDescent="0.25">
      <c r="A266" s="16" t="s">
        <v>9</v>
      </c>
      <c r="B266" s="24">
        <v>46121</v>
      </c>
      <c r="C266" s="16" t="s">
        <v>33</v>
      </c>
      <c r="D266" s="16" t="s">
        <v>167</v>
      </c>
      <c r="E266" s="17">
        <f>69.22</f>
        <v>69.22</v>
      </c>
      <c r="F266" s="16" t="s">
        <v>73</v>
      </c>
      <c r="G266" s="16" t="str">
        <f t="shared" si="4"/>
        <v>Abril</v>
      </c>
    </row>
    <row r="267" spans="1:7" x14ac:dyDescent="0.25">
      <c r="A267" s="16" t="s">
        <v>9</v>
      </c>
      <c r="B267" s="24">
        <v>46121</v>
      </c>
      <c r="C267" s="16" t="s">
        <v>33</v>
      </c>
      <c r="D267" s="16" t="s">
        <v>109</v>
      </c>
      <c r="E267" s="17">
        <v>28</v>
      </c>
      <c r="F267" s="16" t="s">
        <v>73</v>
      </c>
      <c r="G267" s="16" t="str">
        <f t="shared" si="4"/>
        <v>Abril</v>
      </c>
    </row>
    <row r="268" spans="1:7" x14ac:dyDescent="0.25">
      <c r="A268" s="16" t="s">
        <v>5</v>
      </c>
      <c r="B268" s="24">
        <v>46121</v>
      </c>
      <c r="C268" s="16" t="s">
        <v>43</v>
      </c>
      <c r="D268" s="16" t="s">
        <v>168</v>
      </c>
      <c r="E268" s="17">
        <v>100</v>
      </c>
      <c r="F268" s="16" t="s">
        <v>70</v>
      </c>
      <c r="G268" s="16" t="str">
        <f t="shared" si="4"/>
        <v>Abril</v>
      </c>
    </row>
    <row r="269" spans="1:7" x14ac:dyDescent="0.25">
      <c r="A269" s="16" t="s">
        <v>9</v>
      </c>
      <c r="B269" s="24">
        <v>46122</v>
      </c>
      <c r="C269" s="16" t="s">
        <v>33</v>
      </c>
      <c r="D269" s="16" t="s">
        <v>109</v>
      </c>
      <c r="E269" s="17">
        <v>18.899999999999999</v>
      </c>
      <c r="F269" s="16" t="s">
        <v>73</v>
      </c>
      <c r="G269" s="16" t="str">
        <f t="shared" si="4"/>
        <v>Abril</v>
      </c>
    </row>
    <row r="270" spans="1:7" x14ac:dyDescent="0.25">
      <c r="A270" s="16" t="s">
        <v>9</v>
      </c>
      <c r="B270" s="24">
        <v>46122</v>
      </c>
      <c r="C270" s="16" t="s">
        <v>33</v>
      </c>
      <c r="D270" s="16" t="s">
        <v>106</v>
      </c>
      <c r="E270" s="17">
        <f>19.9+2.32</f>
        <v>22.22</v>
      </c>
      <c r="F270" s="16" t="s">
        <v>73</v>
      </c>
      <c r="G270" s="16" t="str">
        <f t="shared" si="4"/>
        <v>Abril</v>
      </c>
    </row>
    <row r="271" spans="1:7" x14ac:dyDescent="0.25">
      <c r="A271" s="16" t="s">
        <v>9</v>
      </c>
      <c r="B271" s="24">
        <v>46122</v>
      </c>
      <c r="C271" s="16" t="s">
        <v>33</v>
      </c>
      <c r="D271" s="16" t="s">
        <v>106</v>
      </c>
      <c r="E271" s="17">
        <v>10</v>
      </c>
      <c r="F271" s="16" t="s">
        <v>70</v>
      </c>
      <c r="G271" s="16" t="str">
        <f t="shared" si="4"/>
        <v>Abril</v>
      </c>
    </row>
    <row r="272" spans="1:7" x14ac:dyDescent="0.25">
      <c r="A272" s="16" t="s">
        <v>9</v>
      </c>
      <c r="B272" s="24">
        <v>46123</v>
      </c>
      <c r="C272" s="16" t="s">
        <v>33</v>
      </c>
      <c r="D272" s="16" t="s">
        <v>166</v>
      </c>
      <c r="E272" s="17">
        <v>42</v>
      </c>
      <c r="F272" s="16" t="s">
        <v>73</v>
      </c>
      <c r="G272" s="16" t="str">
        <f t="shared" si="4"/>
        <v>Abril</v>
      </c>
    </row>
    <row r="273" spans="1:7" x14ac:dyDescent="0.25">
      <c r="A273" s="16" t="s">
        <v>9</v>
      </c>
      <c r="B273" s="24">
        <v>46126</v>
      </c>
      <c r="C273" s="16" t="s">
        <v>32</v>
      </c>
      <c r="D273" s="16" t="s">
        <v>98</v>
      </c>
      <c r="E273" s="17">
        <v>4.04</v>
      </c>
      <c r="F273" s="16" t="s">
        <v>70</v>
      </c>
      <c r="G273" s="16" t="str">
        <f t="shared" si="4"/>
        <v>Abril</v>
      </c>
    </row>
    <row r="274" spans="1:7" x14ac:dyDescent="0.25">
      <c r="A274" s="16" t="s">
        <v>5</v>
      </c>
      <c r="B274" s="24">
        <v>46127</v>
      </c>
      <c r="C274" s="16" t="s">
        <v>43</v>
      </c>
      <c r="D274" s="16" t="s">
        <v>120</v>
      </c>
      <c r="E274" s="17">
        <v>200</v>
      </c>
      <c r="F274" s="16" t="s">
        <v>169</v>
      </c>
      <c r="G274" s="16" t="str">
        <f t="shared" si="4"/>
        <v>Abril</v>
      </c>
    </row>
    <row r="275" spans="1:7" x14ac:dyDescent="0.25">
      <c r="A275" s="16" t="s">
        <v>9</v>
      </c>
      <c r="B275" s="24">
        <v>46127</v>
      </c>
      <c r="C275" s="16" t="s">
        <v>42</v>
      </c>
      <c r="D275" s="16" t="s">
        <v>116</v>
      </c>
      <c r="E275" s="17">
        <v>200</v>
      </c>
      <c r="F275" s="16" t="s">
        <v>169</v>
      </c>
      <c r="G275" s="16" t="str">
        <f t="shared" si="4"/>
        <v>Abril</v>
      </c>
    </row>
    <row r="276" spans="1:7" x14ac:dyDescent="0.25">
      <c r="A276" s="16" t="s">
        <v>9</v>
      </c>
      <c r="B276" s="24">
        <v>46128</v>
      </c>
      <c r="C276" s="16" t="s">
        <v>42</v>
      </c>
      <c r="D276" s="16" t="s">
        <v>116</v>
      </c>
      <c r="E276" s="17">
        <v>5</v>
      </c>
      <c r="F276" s="16" t="s">
        <v>70</v>
      </c>
      <c r="G276" s="16" t="str">
        <f t="shared" si="4"/>
        <v>Abril</v>
      </c>
    </row>
    <row r="277" spans="1:7" x14ac:dyDescent="0.25">
      <c r="A277" s="16" t="s">
        <v>5</v>
      </c>
      <c r="B277" s="24">
        <v>46129</v>
      </c>
      <c r="C277" s="16" t="s">
        <v>43</v>
      </c>
      <c r="D277" s="16" t="s">
        <v>87</v>
      </c>
      <c r="E277" s="17">
        <v>60</v>
      </c>
      <c r="F277" s="16" t="s">
        <v>169</v>
      </c>
      <c r="G277" s="16" t="str">
        <f t="shared" si="4"/>
        <v>Abril</v>
      </c>
    </row>
    <row r="278" spans="1:7" x14ac:dyDescent="0.25">
      <c r="A278" s="16" t="s">
        <v>9</v>
      </c>
      <c r="B278" s="24">
        <v>46129</v>
      </c>
      <c r="C278" s="16" t="s">
        <v>33</v>
      </c>
      <c r="D278" s="16" t="s">
        <v>124</v>
      </c>
      <c r="E278" s="17">
        <v>16.7</v>
      </c>
      <c r="F278" s="16" t="s">
        <v>169</v>
      </c>
      <c r="G278" s="16" t="str">
        <f t="shared" si="4"/>
        <v>Abril</v>
      </c>
    </row>
    <row r="279" spans="1:7" x14ac:dyDescent="0.25">
      <c r="A279" s="16" t="s">
        <v>9</v>
      </c>
      <c r="B279" s="24">
        <v>46129</v>
      </c>
      <c r="C279" s="16" t="s">
        <v>33</v>
      </c>
      <c r="D279" s="16" t="s">
        <v>147</v>
      </c>
      <c r="E279" s="17">
        <v>43.3</v>
      </c>
      <c r="F279" s="16" t="s">
        <v>169</v>
      </c>
      <c r="G279" s="16" t="str">
        <f t="shared" si="4"/>
        <v>Abril</v>
      </c>
    </row>
    <row r="280" spans="1:7" x14ac:dyDescent="0.25">
      <c r="A280" s="16" t="s">
        <v>9</v>
      </c>
      <c r="B280" s="24">
        <v>46130</v>
      </c>
      <c r="C280" s="16" t="s">
        <v>33</v>
      </c>
      <c r="D280" s="16" t="s">
        <v>170</v>
      </c>
      <c r="E280" s="17">
        <v>40.479999999999997</v>
      </c>
      <c r="F280" s="16" t="s">
        <v>70</v>
      </c>
      <c r="G280" s="16" t="str">
        <f t="shared" si="4"/>
        <v>Abril</v>
      </c>
    </row>
    <row r="281" spans="1:7" x14ac:dyDescent="0.25">
      <c r="A281" s="16" t="s">
        <v>9</v>
      </c>
      <c r="B281" s="24">
        <v>46130</v>
      </c>
      <c r="C281" s="16" t="s">
        <v>33</v>
      </c>
      <c r="D281" s="16" t="s">
        <v>166</v>
      </c>
      <c r="E281" s="17">
        <v>40</v>
      </c>
      <c r="F281" s="16" t="s">
        <v>73</v>
      </c>
      <c r="G281" s="16" t="str">
        <f t="shared" si="4"/>
        <v>Abril</v>
      </c>
    </row>
    <row r="282" spans="1:7" x14ac:dyDescent="0.25">
      <c r="A282" s="16" t="s">
        <v>9</v>
      </c>
      <c r="B282" s="24">
        <v>46130</v>
      </c>
      <c r="C282" s="16" t="s">
        <v>33</v>
      </c>
      <c r="D282" s="16" t="s">
        <v>157</v>
      </c>
      <c r="E282" s="17">
        <v>12</v>
      </c>
      <c r="F282" s="16" t="s">
        <v>73</v>
      </c>
      <c r="G282" s="16" t="str">
        <f t="shared" si="4"/>
        <v>Abril</v>
      </c>
    </row>
    <row r="283" spans="1:7" x14ac:dyDescent="0.25">
      <c r="A283" s="16" t="s">
        <v>9</v>
      </c>
      <c r="B283" s="24">
        <v>46131</v>
      </c>
      <c r="C283" s="16" t="s">
        <v>33</v>
      </c>
      <c r="D283" s="16" t="s">
        <v>227</v>
      </c>
      <c r="E283" s="17">
        <v>3.96</v>
      </c>
      <c r="F283" s="16" t="s">
        <v>73</v>
      </c>
      <c r="G283" s="16" t="str">
        <f t="shared" si="4"/>
        <v>Abril</v>
      </c>
    </row>
    <row r="284" spans="1:7" x14ac:dyDescent="0.25">
      <c r="A284" s="16" t="s">
        <v>9</v>
      </c>
      <c r="B284" s="24">
        <v>46132</v>
      </c>
      <c r="C284" s="16" t="s">
        <v>33</v>
      </c>
      <c r="D284" s="16" t="s">
        <v>109</v>
      </c>
      <c r="E284" s="17">
        <v>12</v>
      </c>
      <c r="F284" s="16" t="s">
        <v>70</v>
      </c>
      <c r="G284" s="16" t="str">
        <f t="shared" si="4"/>
        <v>Abril</v>
      </c>
    </row>
    <row r="285" spans="1:7" x14ac:dyDescent="0.25">
      <c r="A285" s="16" t="s">
        <v>9</v>
      </c>
      <c r="B285" s="24">
        <v>46136</v>
      </c>
      <c r="C285" s="16" t="s">
        <v>33</v>
      </c>
      <c r="D285" s="16" t="s">
        <v>171</v>
      </c>
      <c r="E285" s="17">
        <v>49.06</v>
      </c>
      <c r="F285" s="16" t="s">
        <v>73</v>
      </c>
      <c r="G285" s="16" t="str">
        <f t="shared" si="4"/>
        <v>Abril</v>
      </c>
    </row>
    <row r="286" spans="1:7" x14ac:dyDescent="0.25">
      <c r="A286" s="16" t="s">
        <v>9</v>
      </c>
      <c r="B286" s="24">
        <v>46137</v>
      </c>
      <c r="C286" s="16" t="s">
        <v>32</v>
      </c>
      <c r="D286" s="16" t="s">
        <v>117</v>
      </c>
      <c r="E286" s="17">
        <v>32.22</v>
      </c>
      <c r="F286" s="16" t="s">
        <v>73</v>
      </c>
      <c r="G286" s="16" t="str">
        <f t="shared" si="4"/>
        <v>Abril</v>
      </c>
    </row>
    <row r="287" spans="1:7" x14ac:dyDescent="0.25">
      <c r="A287" s="16" t="s">
        <v>9</v>
      </c>
      <c r="B287" s="24">
        <v>46137</v>
      </c>
      <c r="C287" s="16" t="s">
        <v>33</v>
      </c>
      <c r="D287" s="16" t="s">
        <v>106</v>
      </c>
      <c r="E287" s="17">
        <v>9.3000000000000007</v>
      </c>
      <c r="F287" s="16" t="s">
        <v>70</v>
      </c>
      <c r="G287" s="16" t="str">
        <f t="shared" si="4"/>
        <v>Abril</v>
      </c>
    </row>
    <row r="288" spans="1:7" x14ac:dyDescent="0.25">
      <c r="A288" s="16" t="s">
        <v>9</v>
      </c>
      <c r="B288" s="24">
        <v>46138</v>
      </c>
      <c r="C288" s="16" t="s">
        <v>33</v>
      </c>
      <c r="D288" s="16" t="s">
        <v>124</v>
      </c>
      <c r="E288" s="17">
        <v>21</v>
      </c>
      <c r="F288" s="16" t="s">
        <v>70</v>
      </c>
      <c r="G288" s="16" t="str">
        <f t="shared" si="4"/>
        <v>Abril</v>
      </c>
    </row>
    <row r="289" spans="1:7" x14ac:dyDescent="0.25">
      <c r="A289" s="16" t="s">
        <v>5</v>
      </c>
      <c r="B289" s="24">
        <v>46143</v>
      </c>
      <c r="C289" s="16" t="s">
        <v>43</v>
      </c>
      <c r="D289" s="16" t="s">
        <v>92</v>
      </c>
      <c r="E289" s="17">
        <v>32.1</v>
      </c>
      <c r="F289" s="16" t="s">
        <v>70</v>
      </c>
      <c r="G289" s="16" t="str">
        <f t="shared" ref="G289:G352" si="5">TEXT(B289,"MMMM")</f>
        <v>Mayo</v>
      </c>
    </row>
    <row r="290" spans="1:7" x14ac:dyDescent="0.25">
      <c r="A290" s="16" t="s">
        <v>5</v>
      </c>
      <c r="B290" s="24">
        <v>46143</v>
      </c>
      <c r="C290" s="16" t="s">
        <v>6</v>
      </c>
      <c r="D290" s="16" t="s">
        <v>6</v>
      </c>
      <c r="E290" s="17">
        <v>2259.63</v>
      </c>
      <c r="F290" s="16" t="s">
        <v>70</v>
      </c>
      <c r="G290" s="16" t="str">
        <f t="shared" si="5"/>
        <v>Mayo</v>
      </c>
    </row>
    <row r="291" spans="1:7" x14ac:dyDescent="0.25">
      <c r="A291" s="16" t="s">
        <v>9</v>
      </c>
      <c r="B291" s="24">
        <v>46143</v>
      </c>
      <c r="C291" s="16" t="s">
        <v>32</v>
      </c>
      <c r="D291" s="16" t="s">
        <v>158</v>
      </c>
      <c r="E291" s="17">
        <v>785</v>
      </c>
      <c r="F291" s="16" t="s">
        <v>70</v>
      </c>
      <c r="G291" s="16" t="str">
        <f t="shared" si="5"/>
        <v>Mayo</v>
      </c>
    </row>
    <row r="292" spans="1:7" x14ac:dyDescent="0.25">
      <c r="A292" s="16" t="s">
        <v>9</v>
      </c>
      <c r="B292" s="24">
        <v>46143</v>
      </c>
      <c r="C292" s="16" t="s">
        <v>63</v>
      </c>
      <c r="D292" s="16" t="s">
        <v>120</v>
      </c>
      <c r="E292" s="17">
        <v>206.33</v>
      </c>
      <c r="F292" s="16" t="s">
        <v>70</v>
      </c>
      <c r="G292" s="16" t="str">
        <f t="shared" si="5"/>
        <v>Mayo</v>
      </c>
    </row>
    <row r="293" spans="1:7" x14ac:dyDescent="0.25">
      <c r="A293" s="16" t="s">
        <v>9</v>
      </c>
      <c r="B293" s="24">
        <v>46143</v>
      </c>
      <c r="C293" s="16" t="s">
        <v>63</v>
      </c>
      <c r="D293" s="16" t="s">
        <v>148</v>
      </c>
      <c r="E293" s="17">
        <f>94.34-1.92</f>
        <v>92.42</v>
      </c>
      <c r="F293" s="16" t="s">
        <v>70</v>
      </c>
      <c r="G293" s="16" t="str">
        <f t="shared" si="5"/>
        <v>Mayo</v>
      </c>
    </row>
    <row r="294" spans="1:7" x14ac:dyDescent="0.25">
      <c r="A294" s="16" t="s">
        <v>9</v>
      </c>
      <c r="B294" s="24">
        <v>46143</v>
      </c>
      <c r="C294" s="16" t="s">
        <v>63</v>
      </c>
      <c r="D294" s="16" t="s">
        <v>159</v>
      </c>
      <c r="E294" s="17">
        <v>245.75</v>
      </c>
      <c r="F294" s="16" t="s">
        <v>70</v>
      </c>
      <c r="G294" s="16" t="str">
        <f t="shared" si="5"/>
        <v>Mayo</v>
      </c>
    </row>
    <row r="295" spans="1:7" x14ac:dyDescent="0.25">
      <c r="A295" s="16" t="s">
        <v>9</v>
      </c>
      <c r="B295" s="24">
        <v>46143</v>
      </c>
      <c r="C295" s="16" t="s">
        <v>63</v>
      </c>
      <c r="D295" s="16" t="s">
        <v>148</v>
      </c>
      <c r="E295" s="17">
        <v>170</v>
      </c>
      <c r="F295" s="16" t="s">
        <v>70</v>
      </c>
      <c r="G295" s="16" t="str">
        <f t="shared" si="5"/>
        <v>Mayo</v>
      </c>
    </row>
    <row r="296" spans="1:7" x14ac:dyDescent="0.25">
      <c r="A296" s="16" t="s">
        <v>5</v>
      </c>
      <c r="B296" s="24">
        <v>46143</v>
      </c>
      <c r="C296" s="16" t="s">
        <v>103</v>
      </c>
      <c r="D296" s="16" t="s">
        <v>104</v>
      </c>
      <c r="E296" s="17">
        <v>816.3</v>
      </c>
      <c r="F296" s="16" t="s">
        <v>73</v>
      </c>
      <c r="G296" s="16" t="str">
        <f t="shared" si="5"/>
        <v>Mayo</v>
      </c>
    </row>
    <row r="297" spans="1:7" x14ac:dyDescent="0.25">
      <c r="A297" s="16" t="s">
        <v>9</v>
      </c>
      <c r="B297" s="24">
        <v>46143</v>
      </c>
      <c r="C297" s="16" t="s">
        <v>63</v>
      </c>
      <c r="D297" s="16" t="s">
        <v>155</v>
      </c>
      <c r="E297" s="17">
        <v>100</v>
      </c>
      <c r="F297" s="16" t="s">
        <v>70</v>
      </c>
      <c r="G297" s="16" t="str">
        <f t="shared" si="5"/>
        <v>Mayo</v>
      </c>
    </row>
    <row r="298" spans="1:7" x14ac:dyDescent="0.25">
      <c r="A298" s="16" t="s">
        <v>9</v>
      </c>
      <c r="B298" s="24">
        <v>46143</v>
      </c>
      <c r="C298" s="16" t="s">
        <v>33</v>
      </c>
      <c r="D298" s="16" t="s">
        <v>109</v>
      </c>
      <c r="E298" s="17">
        <v>11</v>
      </c>
      <c r="F298" s="16" t="s">
        <v>70</v>
      </c>
      <c r="G298" s="16" t="str">
        <f t="shared" si="5"/>
        <v>Mayo</v>
      </c>
    </row>
    <row r="299" spans="1:7" x14ac:dyDescent="0.25">
      <c r="A299" s="16" t="s">
        <v>9</v>
      </c>
      <c r="B299" s="24">
        <v>46143</v>
      </c>
      <c r="C299" s="16" t="s">
        <v>33</v>
      </c>
      <c r="D299" s="16" t="s">
        <v>172</v>
      </c>
      <c r="E299" s="17">
        <v>80</v>
      </c>
      <c r="F299" s="16" t="s">
        <v>70</v>
      </c>
      <c r="G299" s="16" t="str">
        <f t="shared" si="5"/>
        <v>Mayo</v>
      </c>
    </row>
    <row r="300" spans="1:7" x14ac:dyDescent="0.25">
      <c r="A300" s="16" t="s">
        <v>9</v>
      </c>
      <c r="B300" s="24">
        <v>46143</v>
      </c>
      <c r="C300" s="16" t="s">
        <v>33</v>
      </c>
      <c r="D300" s="16" t="s">
        <v>129</v>
      </c>
      <c r="E300" s="17">
        <v>2.2000000000000002</v>
      </c>
      <c r="F300" s="16" t="s">
        <v>70</v>
      </c>
      <c r="G300" s="16" t="str">
        <f t="shared" si="5"/>
        <v>Mayo</v>
      </c>
    </row>
    <row r="301" spans="1:7" x14ac:dyDescent="0.25">
      <c r="A301" s="16" t="s">
        <v>9</v>
      </c>
      <c r="B301" s="24">
        <v>46143</v>
      </c>
      <c r="C301" s="16" t="s">
        <v>32</v>
      </c>
      <c r="D301" s="16" t="s">
        <v>93</v>
      </c>
      <c r="E301" s="17">
        <v>79</v>
      </c>
      <c r="F301" s="16" t="s">
        <v>73</v>
      </c>
      <c r="G301" s="16" t="str">
        <f t="shared" si="5"/>
        <v>Mayo</v>
      </c>
    </row>
    <row r="302" spans="1:7" x14ac:dyDescent="0.25">
      <c r="A302" s="16" t="s">
        <v>9</v>
      </c>
      <c r="B302" s="24">
        <v>46143</v>
      </c>
      <c r="C302" s="16" t="s">
        <v>32</v>
      </c>
      <c r="D302" s="16" t="s">
        <v>94</v>
      </c>
      <c r="E302" s="17">
        <v>84.5</v>
      </c>
      <c r="F302" s="16" t="s">
        <v>73</v>
      </c>
      <c r="G302" s="16" t="str">
        <f t="shared" si="5"/>
        <v>Mayo</v>
      </c>
    </row>
    <row r="303" spans="1:7" x14ac:dyDescent="0.25">
      <c r="A303" s="16" t="s">
        <v>9</v>
      </c>
      <c r="B303" s="24">
        <v>46143</v>
      </c>
      <c r="C303" s="16" t="s">
        <v>32</v>
      </c>
      <c r="D303" s="16" t="s">
        <v>95</v>
      </c>
      <c r="E303" s="17">
        <v>45</v>
      </c>
      <c r="F303" s="16" t="s">
        <v>73</v>
      </c>
      <c r="G303" s="16" t="str">
        <f t="shared" si="5"/>
        <v>Mayo</v>
      </c>
    </row>
    <row r="304" spans="1:7" x14ac:dyDescent="0.25">
      <c r="A304" s="16" t="s">
        <v>9</v>
      </c>
      <c r="B304" s="24">
        <v>46143</v>
      </c>
      <c r="C304" s="16" t="s">
        <v>32</v>
      </c>
      <c r="D304" s="16" t="s">
        <v>101</v>
      </c>
      <c r="E304" s="17">
        <v>20</v>
      </c>
      <c r="F304" s="16" t="s">
        <v>70</v>
      </c>
      <c r="G304" s="16" t="str">
        <f t="shared" si="5"/>
        <v>Mayo</v>
      </c>
    </row>
    <row r="305" spans="1:7" x14ac:dyDescent="0.25">
      <c r="A305" s="16" t="s">
        <v>9</v>
      </c>
      <c r="B305" s="24">
        <v>46143</v>
      </c>
      <c r="C305" s="16" t="s">
        <v>63</v>
      </c>
      <c r="D305" s="16" t="s">
        <v>87</v>
      </c>
      <c r="E305" s="17">
        <v>60</v>
      </c>
      <c r="F305" s="16" t="s">
        <v>70</v>
      </c>
      <c r="G305" s="16" t="str">
        <f t="shared" si="5"/>
        <v>Mayo</v>
      </c>
    </row>
    <row r="306" spans="1:7" x14ac:dyDescent="0.25">
      <c r="A306" s="16" t="s">
        <v>9</v>
      </c>
      <c r="B306" s="24">
        <v>46143</v>
      </c>
      <c r="C306" s="16" t="s">
        <v>33</v>
      </c>
      <c r="D306" s="16" t="s">
        <v>106</v>
      </c>
      <c r="E306" s="17">
        <v>14</v>
      </c>
      <c r="F306" s="16" t="s">
        <v>70</v>
      </c>
      <c r="G306" s="16" t="str">
        <f t="shared" si="5"/>
        <v>Mayo</v>
      </c>
    </row>
    <row r="307" spans="1:7" x14ac:dyDescent="0.25">
      <c r="A307" s="16" t="s">
        <v>9</v>
      </c>
      <c r="B307" s="24">
        <v>46143</v>
      </c>
      <c r="C307" s="16" t="s">
        <v>33</v>
      </c>
      <c r="D307" s="16" t="s">
        <v>152</v>
      </c>
      <c r="E307" s="17">
        <v>50</v>
      </c>
      <c r="F307" s="16" t="s">
        <v>73</v>
      </c>
      <c r="G307" s="16" t="str">
        <f t="shared" si="5"/>
        <v>Mayo</v>
      </c>
    </row>
    <row r="308" spans="1:7" x14ac:dyDescent="0.25">
      <c r="A308" s="16" t="s">
        <v>9</v>
      </c>
      <c r="B308" s="24">
        <v>46143</v>
      </c>
      <c r="C308" s="16" t="s">
        <v>33</v>
      </c>
      <c r="D308" s="16" t="s">
        <v>109</v>
      </c>
      <c r="E308" s="17">
        <v>21</v>
      </c>
      <c r="F308" s="16" t="s">
        <v>70</v>
      </c>
      <c r="G308" s="16" t="str">
        <f t="shared" si="5"/>
        <v>Mayo</v>
      </c>
    </row>
    <row r="309" spans="1:7" x14ac:dyDescent="0.25">
      <c r="A309" s="16" t="s">
        <v>9</v>
      </c>
      <c r="B309" s="24">
        <v>46143</v>
      </c>
      <c r="C309" s="16" t="s">
        <v>33</v>
      </c>
      <c r="D309" s="16" t="s">
        <v>172</v>
      </c>
      <c r="E309" s="17">
        <v>107.3</v>
      </c>
      <c r="F309" s="16" t="s">
        <v>70</v>
      </c>
      <c r="G309" s="16" t="str">
        <f t="shared" si="5"/>
        <v>Mayo</v>
      </c>
    </row>
    <row r="310" spans="1:7" x14ac:dyDescent="0.25">
      <c r="A310" s="16" t="s">
        <v>9</v>
      </c>
      <c r="B310" s="24">
        <v>46143</v>
      </c>
      <c r="C310" s="16" t="s">
        <v>32</v>
      </c>
      <c r="D310" s="16" t="s">
        <v>76</v>
      </c>
      <c r="E310" s="17">
        <v>11.9</v>
      </c>
      <c r="F310" s="16" t="s">
        <v>73</v>
      </c>
      <c r="G310" s="16" t="str">
        <f t="shared" si="5"/>
        <v>Mayo</v>
      </c>
    </row>
    <row r="311" spans="1:7" x14ac:dyDescent="0.25">
      <c r="A311" s="16" t="s">
        <v>9</v>
      </c>
      <c r="B311" s="24">
        <v>46143</v>
      </c>
      <c r="C311" s="16" t="s">
        <v>32</v>
      </c>
      <c r="D311" s="16" t="s">
        <v>96</v>
      </c>
      <c r="E311" s="17">
        <v>162</v>
      </c>
      <c r="F311" s="16" t="s">
        <v>70</v>
      </c>
      <c r="G311" s="16" t="str">
        <f t="shared" si="5"/>
        <v>Mayo</v>
      </c>
    </row>
    <row r="312" spans="1:7" x14ac:dyDescent="0.25">
      <c r="A312" s="16" t="s">
        <v>9</v>
      </c>
      <c r="B312" s="24">
        <v>46144</v>
      </c>
      <c r="C312" s="16" t="s">
        <v>33</v>
      </c>
      <c r="D312" s="16" t="s">
        <v>109</v>
      </c>
      <c r="E312" s="17">
        <v>14.5</v>
      </c>
      <c r="F312" s="16" t="s">
        <v>70</v>
      </c>
      <c r="G312" s="16" t="str">
        <f t="shared" si="5"/>
        <v>Mayo</v>
      </c>
    </row>
    <row r="313" spans="1:7" x14ac:dyDescent="0.25">
      <c r="A313" s="16" t="s">
        <v>9</v>
      </c>
      <c r="B313" s="24">
        <v>46144</v>
      </c>
      <c r="C313" s="16" t="s">
        <v>33</v>
      </c>
      <c r="D313" s="16" t="s">
        <v>227</v>
      </c>
      <c r="E313" s="17">
        <v>3</v>
      </c>
      <c r="F313" s="16" t="s">
        <v>70</v>
      </c>
      <c r="G313" s="16" t="str">
        <f t="shared" si="5"/>
        <v>Mayo</v>
      </c>
    </row>
    <row r="314" spans="1:7" x14ac:dyDescent="0.25">
      <c r="A314" s="16" t="s">
        <v>9</v>
      </c>
      <c r="B314" s="24">
        <v>46145</v>
      </c>
      <c r="C314" s="16" t="s">
        <v>33</v>
      </c>
      <c r="D314" s="16" t="s">
        <v>115</v>
      </c>
      <c r="E314" s="17">
        <v>14.61</v>
      </c>
      <c r="F314" s="16" t="s">
        <v>70</v>
      </c>
      <c r="G314" s="16" t="str">
        <f t="shared" si="5"/>
        <v>Mayo</v>
      </c>
    </row>
    <row r="315" spans="1:7" x14ac:dyDescent="0.25">
      <c r="A315" s="16" t="s">
        <v>9</v>
      </c>
      <c r="B315" s="24">
        <v>46146</v>
      </c>
      <c r="C315" s="16" t="s">
        <v>32</v>
      </c>
      <c r="D315" s="16" t="s">
        <v>100</v>
      </c>
      <c r="E315" s="17">
        <v>20</v>
      </c>
      <c r="F315" s="16" t="s">
        <v>70</v>
      </c>
      <c r="G315" s="16" t="str">
        <f t="shared" si="5"/>
        <v>Mayo</v>
      </c>
    </row>
    <row r="316" spans="1:7" x14ac:dyDescent="0.25">
      <c r="A316" s="16" t="s">
        <v>9</v>
      </c>
      <c r="B316" s="24">
        <v>46146</v>
      </c>
      <c r="C316" s="16" t="s">
        <v>33</v>
      </c>
      <c r="D316" s="16" t="s">
        <v>173</v>
      </c>
      <c r="E316" s="17">
        <v>92.36</v>
      </c>
      <c r="F316" s="16" t="s">
        <v>73</v>
      </c>
      <c r="G316" s="16" t="str">
        <f t="shared" si="5"/>
        <v>Mayo</v>
      </c>
    </row>
    <row r="317" spans="1:7" x14ac:dyDescent="0.25">
      <c r="A317" s="16" t="s">
        <v>9</v>
      </c>
      <c r="B317" s="24">
        <v>46146</v>
      </c>
      <c r="C317" s="16" t="s">
        <v>33</v>
      </c>
      <c r="D317" s="16" t="s">
        <v>109</v>
      </c>
      <c r="E317" s="17">
        <v>15</v>
      </c>
      <c r="F317" s="16" t="s">
        <v>70</v>
      </c>
      <c r="G317" s="16" t="str">
        <f t="shared" si="5"/>
        <v>Mayo</v>
      </c>
    </row>
    <row r="318" spans="1:7" x14ac:dyDescent="0.25">
      <c r="A318" s="16" t="s">
        <v>9</v>
      </c>
      <c r="B318" s="24">
        <v>46147</v>
      </c>
      <c r="C318" s="16" t="s">
        <v>33</v>
      </c>
      <c r="D318" s="16" t="s">
        <v>227</v>
      </c>
      <c r="E318" s="17">
        <v>2</v>
      </c>
      <c r="F318" s="16" t="s">
        <v>73</v>
      </c>
      <c r="G318" s="16" t="str">
        <f t="shared" si="5"/>
        <v>Mayo</v>
      </c>
    </row>
    <row r="319" spans="1:7" x14ac:dyDescent="0.25">
      <c r="A319" s="16" t="s">
        <v>9</v>
      </c>
      <c r="B319" s="24">
        <v>46147</v>
      </c>
      <c r="C319" s="16" t="s">
        <v>33</v>
      </c>
      <c r="D319" s="16" t="s">
        <v>109</v>
      </c>
      <c r="E319" s="17">
        <v>9</v>
      </c>
      <c r="F319" s="16" t="s">
        <v>70</v>
      </c>
      <c r="G319" s="16" t="str">
        <f t="shared" si="5"/>
        <v>Mayo</v>
      </c>
    </row>
    <row r="320" spans="1:7" x14ac:dyDescent="0.25">
      <c r="A320" s="16" t="s">
        <v>9</v>
      </c>
      <c r="B320" s="24">
        <v>46148</v>
      </c>
      <c r="C320" s="16" t="s">
        <v>33</v>
      </c>
      <c r="D320" s="16" t="s">
        <v>129</v>
      </c>
      <c r="E320" s="17">
        <v>63.4</v>
      </c>
      <c r="F320" s="16" t="s">
        <v>73</v>
      </c>
      <c r="G320" s="16" t="str">
        <f t="shared" si="5"/>
        <v>Mayo</v>
      </c>
    </row>
    <row r="321" spans="1:7" x14ac:dyDescent="0.25">
      <c r="A321" s="16" t="s">
        <v>9</v>
      </c>
      <c r="B321" s="24">
        <v>46148</v>
      </c>
      <c r="C321" s="16" t="s">
        <v>33</v>
      </c>
      <c r="D321" s="16" t="s">
        <v>106</v>
      </c>
      <c r="E321" s="17">
        <v>18</v>
      </c>
      <c r="F321" s="16" t="s">
        <v>70</v>
      </c>
      <c r="G321" s="16" t="str">
        <f t="shared" si="5"/>
        <v>Mayo</v>
      </c>
    </row>
    <row r="322" spans="1:7" x14ac:dyDescent="0.25">
      <c r="A322" s="16" t="s">
        <v>9</v>
      </c>
      <c r="B322" s="24">
        <v>46149</v>
      </c>
      <c r="C322" s="16" t="s">
        <v>33</v>
      </c>
      <c r="D322" s="16" t="s">
        <v>109</v>
      </c>
      <c r="E322" s="17">
        <v>11.8</v>
      </c>
      <c r="F322" s="16" t="s">
        <v>70</v>
      </c>
      <c r="G322" s="16" t="str">
        <f t="shared" si="5"/>
        <v>Mayo</v>
      </c>
    </row>
    <row r="323" spans="1:7" x14ac:dyDescent="0.25">
      <c r="A323" s="16" t="s">
        <v>9</v>
      </c>
      <c r="B323" s="24">
        <v>46149</v>
      </c>
      <c r="C323" s="16" t="s">
        <v>33</v>
      </c>
      <c r="D323" s="16" t="s">
        <v>128</v>
      </c>
      <c r="E323" s="17">
        <v>4.9000000000000004</v>
      </c>
      <c r="F323" s="16" t="s">
        <v>73</v>
      </c>
      <c r="G323" s="16" t="str">
        <f t="shared" si="5"/>
        <v>Mayo</v>
      </c>
    </row>
    <row r="324" spans="1:7" x14ac:dyDescent="0.25">
      <c r="A324" s="16" t="s">
        <v>9</v>
      </c>
      <c r="B324" s="24">
        <v>46150</v>
      </c>
      <c r="C324" s="16" t="s">
        <v>33</v>
      </c>
      <c r="D324" s="16" t="s">
        <v>109</v>
      </c>
      <c r="E324" s="17">
        <v>13</v>
      </c>
      <c r="F324" s="16" t="s">
        <v>70</v>
      </c>
      <c r="G324" s="16" t="str">
        <f t="shared" si="5"/>
        <v>Mayo</v>
      </c>
    </row>
    <row r="325" spans="1:7" x14ac:dyDescent="0.25">
      <c r="A325" s="16" t="s">
        <v>9</v>
      </c>
      <c r="B325" s="24">
        <v>46151</v>
      </c>
      <c r="C325" s="16" t="s">
        <v>33</v>
      </c>
      <c r="D325" s="16" t="s">
        <v>106</v>
      </c>
      <c r="E325" s="17">
        <v>14.5</v>
      </c>
      <c r="F325" s="16" t="s">
        <v>70</v>
      </c>
      <c r="G325" s="16" t="str">
        <f t="shared" si="5"/>
        <v>Mayo</v>
      </c>
    </row>
    <row r="326" spans="1:7" x14ac:dyDescent="0.25">
      <c r="A326" s="16" t="s">
        <v>9</v>
      </c>
      <c r="B326" s="24">
        <v>46151</v>
      </c>
      <c r="C326" s="16" t="s">
        <v>33</v>
      </c>
      <c r="D326" s="16" t="s">
        <v>173</v>
      </c>
      <c r="E326" s="17">
        <v>35</v>
      </c>
      <c r="F326" s="16" t="s">
        <v>70</v>
      </c>
      <c r="G326" s="16" t="str">
        <f t="shared" si="5"/>
        <v>Mayo</v>
      </c>
    </row>
    <row r="327" spans="1:7" x14ac:dyDescent="0.25">
      <c r="A327" s="16" t="s">
        <v>9</v>
      </c>
      <c r="B327" s="24">
        <v>46152</v>
      </c>
      <c r="C327" s="16" t="s">
        <v>33</v>
      </c>
      <c r="D327" s="16" t="s">
        <v>173</v>
      </c>
      <c r="E327" s="17">
        <v>64.7</v>
      </c>
      <c r="F327" s="16" t="s">
        <v>73</v>
      </c>
      <c r="G327" s="16" t="str">
        <f t="shared" si="5"/>
        <v>Mayo</v>
      </c>
    </row>
    <row r="328" spans="1:7" x14ac:dyDescent="0.25">
      <c r="A328" s="16" t="s">
        <v>9</v>
      </c>
      <c r="B328" s="24">
        <v>46154</v>
      </c>
      <c r="C328" s="16" t="s">
        <v>33</v>
      </c>
      <c r="D328" s="16" t="s">
        <v>174</v>
      </c>
      <c r="E328" s="17">
        <v>50</v>
      </c>
      <c r="F328" s="16" t="s">
        <v>73</v>
      </c>
      <c r="G328" s="16" t="str">
        <f t="shared" si="5"/>
        <v>Mayo</v>
      </c>
    </row>
    <row r="329" spans="1:7" x14ac:dyDescent="0.25">
      <c r="A329" s="16" t="s">
        <v>9</v>
      </c>
      <c r="B329" s="24">
        <v>46154</v>
      </c>
      <c r="C329" s="16" t="s">
        <v>33</v>
      </c>
      <c r="D329" s="16" t="s">
        <v>110</v>
      </c>
      <c r="E329" s="17">
        <v>4.99</v>
      </c>
      <c r="F329" s="16" t="s">
        <v>73</v>
      </c>
      <c r="G329" s="16" t="str">
        <f t="shared" si="5"/>
        <v>Mayo</v>
      </c>
    </row>
    <row r="330" spans="1:7" x14ac:dyDescent="0.25">
      <c r="A330" s="16" t="s">
        <v>9</v>
      </c>
      <c r="B330" s="24">
        <v>46154</v>
      </c>
      <c r="C330" s="16" t="s">
        <v>33</v>
      </c>
      <c r="D330" s="16" t="s">
        <v>106</v>
      </c>
      <c r="E330" s="17">
        <v>2.5</v>
      </c>
      <c r="F330" s="16" t="s">
        <v>70</v>
      </c>
      <c r="G330" s="16" t="str">
        <f t="shared" si="5"/>
        <v>Mayo</v>
      </c>
    </row>
    <row r="331" spans="1:7" x14ac:dyDescent="0.25">
      <c r="A331" s="16" t="s">
        <v>9</v>
      </c>
      <c r="B331" s="24">
        <v>46154</v>
      </c>
      <c r="C331" s="16" t="s">
        <v>33</v>
      </c>
      <c r="D331" s="16" t="s">
        <v>124</v>
      </c>
      <c r="E331" s="17">
        <v>12.5</v>
      </c>
      <c r="F331" s="16" t="s">
        <v>70</v>
      </c>
      <c r="G331" s="16" t="str">
        <f t="shared" si="5"/>
        <v>Mayo</v>
      </c>
    </row>
    <row r="332" spans="1:7" x14ac:dyDescent="0.25">
      <c r="A332" s="16" t="s">
        <v>9</v>
      </c>
      <c r="B332" s="24">
        <v>46154</v>
      </c>
      <c r="C332" s="16" t="s">
        <v>33</v>
      </c>
      <c r="D332" s="16" t="s">
        <v>109</v>
      </c>
      <c r="E332" s="17">
        <v>10</v>
      </c>
      <c r="F332" s="16" t="s">
        <v>70</v>
      </c>
      <c r="G332" s="16" t="str">
        <f t="shared" si="5"/>
        <v>Mayo</v>
      </c>
    </row>
    <row r="333" spans="1:7" x14ac:dyDescent="0.25">
      <c r="A333" s="16" t="s">
        <v>9</v>
      </c>
      <c r="B333" s="24">
        <v>46154</v>
      </c>
      <c r="C333" s="16" t="s">
        <v>33</v>
      </c>
      <c r="D333" s="16" t="s">
        <v>110</v>
      </c>
      <c r="E333" s="17">
        <v>10</v>
      </c>
      <c r="F333" s="16" t="s">
        <v>73</v>
      </c>
      <c r="G333" s="16" t="str">
        <f t="shared" si="5"/>
        <v>Mayo</v>
      </c>
    </row>
    <row r="334" spans="1:7" x14ac:dyDescent="0.25">
      <c r="A334" s="16" t="s">
        <v>5</v>
      </c>
      <c r="B334" s="24">
        <v>46155</v>
      </c>
      <c r="C334" s="16" t="s">
        <v>6</v>
      </c>
      <c r="D334" s="16" t="s">
        <v>175</v>
      </c>
      <c r="E334" s="17">
        <v>1469.67</v>
      </c>
      <c r="F334" s="16" t="s">
        <v>70</v>
      </c>
      <c r="G334" s="16" t="str">
        <f t="shared" si="5"/>
        <v>Mayo</v>
      </c>
    </row>
    <row r="335" spans="1:7" x14ac:dyDescent="0.25">
      <c r="A335" s="16" t="s">
        <v>9</v>
      </c>
      <c r="B335" s="24">
        <v>46155</v>
      </c>
      <c r="C335" s="16" t="s">
        <v>42</v>
      </c>
      <c r="D335" s="16" t="s">
        <v>176</v>
      </c>
      <c r="E335" s="17">
        <v>700</v>
      </c>
      <c r="F335" s="16" t="s">
        <v>70</v>
      </c>
      <c r="G335" s="16" t="str">
        <f t="shared" si="5"/>
        <v>Mayo</v>
      </c>
    </row>
    <row r="336" spans="1:7" x14ac:dyDescent="0.25">
      <c r="A336" s="16" t="s">
        <v>9</v>
      </c>
      <c r="B336" s="24">
        <v>46156</v>
      </c>
      <c r="C336" s="16" t="s">
        <v>33</v>
      </c>
      <c r="D336" s="16" t="s">
        <v>119</v>
      </c>
      <c r="E336" s="17">
        <v>59.99</v>
      </c>
      <c r="F336" s="16" t="s">
        <v>73</v>
      </c>
      <c r="G336" s="16" t="str">
        <f t="shared" si="5"/>
        <v>Mayo</v>
      </c>
    </row>
    <row r="337" spans="1:7" x14ac:dyDescent="0.25">
      <c r="A337" s="16" t="s">
        <v>9</v>
      </c>
      <c r="B337" s="24">
        <v>46156</v>
      </c>
      <c r="C337" s="16" t="s">
        <v>33</v>
      </c>
      <c r="D337" s="16" t="s">
        <v>109</v>
      </c>
      <c r="E337" s="17">
        <v>11.5</v>
      </c>
      <c r="F337" s="16" t="s">
        <v>70</v>
      </c>
      <c r="G337" s="16" t="str">
        <f t="shared" si="5"/>
        <v>Mayo</v>
      </c>
    </row>
    <row r="338" spans="1:7" x14ac:dyDescent="0.25">
      <c r="A338" s="16" t="s">
        <v>9</v>
      </c>
      <c r="B338" s="24">
        <v>46156</v>
      </c>
      <c r="C338" s="16" t="s">
        <v>32</v>
      </c>
      <c r="D338" s="16" t="s">
        <v>98</v>
      </c>
      <c r="E338" s="17">
        <f>13.91+1.44</f>
        <v>15.35</v>
      </c>
      <c r="F338" s="16" t="s">
        <v>70</v>
      </c>
      <c r="G338" s="16" t="str">
        <f t="shared" si="5"/>
        <v>Mayo</v>
      </c>
    </row>
    <row r="339" spans="1:7" x14ac:dyDescent="0.25">
      <c r="A339" s="16" t="s">
        <v>9</v>
      </c>
      <c r="B339" s="24">
        <v>46157</v>
      </c>
      <c r="C339" s="16" t="s">
        <v>32</v>
      </c>
      <c r="D339" s="16" t="s">
        <v>99</v>
      </c>
      <c r="E339" s="17">
        <v>39.9</v>
      </c>
      <c r="F339" s="16" t="s">
        <v>73</v>
      </c>
      <c r="G339" s="16" t="str">
        <f t="shared" si="5"/>
        <v>Mayo</v>
      </c>
    </row>
    <row r="340" spans="1:7" x14ac:dyDescent="0.25">
      <c r="A340" s="16" t="s">
        <v>9</v>
      </c>
      <c r="B340" s="24">
        <v>46157</v>
      </c>
      <c r="C340" s="16" t="s">
        <v>33</v>
      </c>
      <c r="D340" t="s">
        <v>97</v>
      </c>
      <c r="E340" s="17">
        <v>39.049999999999997</v>
      </c>
      <c r="F340" s="16" t="s">
        <v>70</v>
      </c>
      <c r="G340" s="16" t="str">
        <f t="shared" si="5"/>
        <v>Mayo</v>
      </c>
    </row>
    <row r="341" spans="1:7" x14ac:dyDescent="0.25">
      <c r="A341" s="16" t="s">
        <v>9</v>
      </c>
      <c r="B341" s="24">
        <v>46158</v>
      </c>
      <c r="C341" s="16" t="s">
        <v>33</v>
      </c>
      <c r="D341" s="16" t="s">
        <v>227</v>
      </c>
      <c r="E341" s="17">
        <v>2.19</v>
      </c>
      <c r="F341" s="16" t="s">
        <v>73</v>
      </c>
      <c r="G341" s="16" t="str">
        <f t="shared" si="5"/>
        <v>Mayo</v>
      </c>
    </row>
    <row r="342" spans="1:7" x14ac:dyDescent="0.25">
      <c r="A342" s="16" t="s">
        <v>9</v>
      </c>
      <c r="B342" s="24">
        <v>46158</v>
      </c>
      <c r="C342" s="16" t="s">
        <v>33</v>
      </c>
      <c r="D342" s="16" t="s">
        <v>119</v>
      </c>
      <c r="E342" s="17">
        <v>62</v>
      </c>
      <c r="F342" s="16" t="s">
        <v>70</v>
      </c>
      <c r="G342" s="16" t="str">
        <f t="shared" si="5"/>
        <v>Mayo</v>
      </c>
    </row>
    <row r="343" spans="1:7" x14ac:dyDescent="0.25">
      <c r="A343" s="16" t="s">
        <v>9</v>
      </c>
      <c r="B343" s="24">
        <v>46158</v>
      </c>
      <c r="C343" s="16" t="s">
        <v>33</v>
      </c>
      <c r="D343" s="16" t="s">
        <v>151</v>
      </c>
      <c r="E343" s="17">
        <v>60.19</v>
      </c>
      <c r="F343" s="16" t="s">
        <v>70</v>
      </c>
      <c r="G343" s="16" t="str">
        <f t="shared" si="5"/>
        <v>Mayo</v>
      </c>
    </row>
    <row r="344" spans="1:7" x14ac:dyDescent="0.25">
      <c r="A344" s="16" t="s">
        <v>9</v>
      </c>
      <c r="B344" s="24">
        <v>46158</v>
      </c>
      <c r="C344" s="16" t="s">
        <v>33</v>
      </c>
      <c r="D344" s="16" t="s">
        <v>124</v>
      </c>
      <c r="E344" s="17">
        <v>8.5</v>
      </c>
      <c r="F344" s="16" t="s">
        <v>70</v>
      </c>
      <c r="G344" s="16" t="str">
        <f t="shared" si="5"/>
        <v>Mayo</v>
      </c>
    </row>
    <row r="345" spans="1:7" x14ac:dyDescent="0.25">
      <c r="A345" s="16" t="s">
        <v>9</v>
      </c>
      <c r="B345" s="24">
        <v>46158</v>
      </c>
      <c r="C345" s="16" t="s">
        <v>33</v>
      </c>
      <c r="D345" s="16" t="s">
        <v>124</v>
      </c>
      <c r="E345" s="17">
        <v>13</v>
      </c>
      <c r="F345" s="16" t="s">
        <v>70</v>
      </c>
      <c r="G345" s="16" t="str">
        <f t="shared" si="5"/>
        <v>Mayo</v>
      </c>
    </row>
    <row r="346" spans="1:7" x14ac:dyDescent="0.25">
      <c r="A346" s="16" t="s">
        <v>9</v>
      </c>
      <c r="B346" s="24">
        <v>46160</v>
      </c>
      <c r="C346" s="16" t="s">
        <v>42</v>
      </c>
      <c r="D346" s="16" t="s">
        <v>116</v>
      </c>
      <c r="E346" s="17">
        <v>14</v>
      </c>
      <c r="F346" s="16" t="s">
        <v>70</v>
      </c>
      <c r="G346" s="16" t="str">
        <f t="shared" si="5"/>
        <v>Mayo</v>
      </c>
    </row>
    <row r="347" spans="1:7" x14ac:dyDescent="0.25">
      <c r="A347" s="16" t="s">
        <v>9</v>
      </c>
      <c r="B347" s="24">
        <v>46160</v>
      </c>
      <c r="C347" s="16" t="s">
        <v>33</v>
      </c>
      <c r="D347" s="16" t="s">
        <v>106</v>
      </c>
      <c r="E347" s="17">
        <v>10</v>
      </c>
      <c r="F347" s="16" t="s">
        <v>70</v>
      </c>
      <c r="G347" s="16" t="str">
        <f t="shared" si="5"/>
        <v>Mayo</v>
      </c>
    </row>
    <row r="348" spans="1:7" x14ac:dyDescent="0.25">
      <c r="A348" s="16" t="s">
        <v>9</v>
      </c>
      <c r="B348" s="24">
        <v>46160</v>
      </c>
      <c r="C348" s="16" t="s">
        <v>33</v>
      </c>
      <c r="D348" s="16" t="s">
        <v>109</v>
      </c>
      <c r="E348" s="17">
        <v>29</v>
      </c>
      <c r="F348" s="16" t="s">
        <v>73</v>
      </c>
      <c r="G348" s="16" t="str">
        <f t="shared" si="5"/>
        <v>Mayo</v>
      </c>
    </row>
    <row r="349" spans="1:7" x14ac:dyDescent="0.25">
      <c r="A349" s="16" t="s">
        <v>9</v>
      </c>
      <c r="B349" s="24">
        <v>46160</v>
      </c>
      <c r="C349" s="16" t="s">
        <v>33</v>
      </c>
      <c r="D349" s="16" t="s">
        <v>106</v>
      </c>
      <c r="E349" s="17">
        <v>7.5</v>
      </c>
      <c r="F349" s="16" t="s">
        <v>70</v>
      </c>
      <c r="G349" s="16" t="str">
        <f t="shared" si="5"/>
        <v>Mayo</v>
      </c>
    </row>
    <row r="350" spans="1:7" x14ac:dyDescent="0.25">
      <c r="A350" s="16" t="s">
        <v>9</v>
      </c>
      <c r="B350" s="24">
        <v>46161</v>
      </c>
      <c r="C350" s="16" t="s">
        <v>32</v>
      </c>
      <c r="D350" s="16" t="s">
        <v>101</v>
      </c>
      <c r="E350" s="17">
        <v>20</v>
      </c>
      <c r="F350" s="16" t="s">
        <v>70</v>
      </c>
      <c r="G350" s="16" t="str">
        <f t="shared" si="5"/>
        <v>Mayo</v>
      </c>
    </row>
    <row r="351" spans="1:7" x14ac:dyDescent="0.25">
      <c r="A351" s="16" t="s">
        <v>9</v>
      </c>
      <c r="B351" s="24">
        <v>46163</v>
      </c>
      <c r="C351" s="16" t="s">
        <v>33</v>
      </c>
      <c r="D351" s="16" t="s">
        <v>124</v>
      </c>
      <c r="E351" s="17">
        <v>5.69</v>
      </c>
      <c r="F351" s="16" t="s">
        <v>70</v>
      </c>
      <c r="G351" s="16" t="str">
        <f t="shared" si="5"/>
        <v>Mayo</v>
      </c>
    </row>
    <row r="352" spans="1:7" x14ac:dyDescent="0.25">
      <c r="A352" s="16" t="s">
        <v>9</v>
      </c>
      <c r="B352" s="24">
        <v>46164</v>
      </c>
      <c r="C352" s="16" t="s">
        <v>33</v>
      </c>
      <c r="D352" s="16" t="s">
        <v>177</v>
      </c>
      <c r="E352" s="17">
        <v>83.08</v>
      </c>
      <c r="F352" s="16" t="s">
        <v>70</v>
      </c>
      <c r="G352" s="16" t="str">
        <f t="shared" si="5"/>
        <v>Mayo</v>
      </c>
    </row>
    <row r="353" spans="1:7" x14ac:dyDescent="0.25">
      <c r="A353" s="16" t="s">
        <v>9</v>
      </c>
      <c r="B353" s="24">
        <v>46165</v>
      </c>
      <c r="C353" s="16" t="s">
        <v>33</v>
      </c>
      <c r="D353" s="16" t="s">
        <v>109</v>
      </c>
      <c r="E353" s="17">
        <v>28.1</v>
      </c>
      <c r="F353" s="16" t="s">
        <v>73</v>
      </c>
      <c r="G353" s="16" t="str">
        <f t="shared" ref="G353:G416" si="6">TEXT(B353,"MMMM")</f>
        <v>Mayo</v>
      </c>
    </row>
    <row r="354" spans="1:7" x14ac:dyDescent="0.25">
      <c r="A354" s="16" t="s">
        <v>9</v>
      </c>
      <c r="B354" s="24">
        <v>46168</v>
      </c>
      <c r="C354" s="16" t="s">
        <v>42</v>
      </c>
      <c r="D354" s="16" t="s">
        <v>178</v>
      </c>
      <c r="E354" s="17">
        <v>60</v>
      </c>
      <c r="F354" s="16" t="s">
        <v>73</v>
      </c>
      <c r="G354" s="16" t="str">
        <f t="shared" si="6"/>
        <v>Mayo</v>
      </c>
    </row>
    <row r="355" spans="1:7" x14ac:dyDescent="0.25">
      <c r="A355" s="16" t="s">
        <v>9</v>
      </c>
      <c r="B355" s="24">
        <v>46168</v>
      </c>
      <c r="C355" s="16" t="s">
        <v>33</v>
      </c>
      <c r="D355" s="16" t="s">
        <v>179</v>
      </c>
      <c r="E355" s="17">
        <v>20</v>
      </c>
      <c r="F355" s="16" t="s">
        <v>70</v>
      </c>
      <c r="G355" s="16" t="str">
        <f t="shared" si="6"/>
        <v>Mayo</v>
      </c>
    </row>
    <row r="356" spans="1:7" x14ac:dyDescent="0.25">
      <c r="A356" s="16" t="s">
        <v>9</v>
      </c>
      <c r="B356" s="24">
        <v>46169</v>
      </c>
      <c r="C356" s="16" t="s">
        <v>33</v>
      </c>
      <c r="D356" s="16" t="s">
        <v>152</v>
      </c>
      <c r="E356" s="17">
        <v>12</v>
      </c>
      <c r="F356" s="16" t="s">
        <v>73</v>
      </c>
      <c r="G356" s="16" t="str">
        <f t="shared" si="6"/>
        <v>Mayo</v>
      </c>
    </row>
    <row r="357" spans="1:7" x14ac:dyDescent="0.25">
      <c r="A357" s="16" t="s">
        <v>5</v>
      </c>
      <c r="B357" s="24">
        <v>46174</v>
      </c>
      <c r="C357" s="16" t="s">
        <v>43</v>
      </c>
      <c r="D357" s="16" t="s">
        <v>92</v>
      </c>
      <c r="E357" s="17">
        <f>431.73+2.8</f>
        <v>434.53000000000003</v>
      </c>
      <c r="F357" s="16" t="s">
        <v>70</v>
      </c>
      <c r="G357" s="16" t="str">
        <f t="shared" si="6"/>
        <v>Junio</v>
      </c>
    </row>
    <row r="358" spans="1:7" x14ac:dyDescent="0.25">
      <c r="A358" s="16" t="s">
        <v>5</v>
      </c>
      <c r="B358" s="24">
        <v>46174</v>
      </c>
      <c r="C358" s="16" t="s">
        <v>6</v>
      </c>
      <c r="D358" s="16" t="s">
        <v>6</v>
      </c>
      <c r="E358" s="17">
        <v>2259.63</v>
      </c>
      <c r="F358" s="16" t="s">
        <v>70</v>
      </c>
      <c r="G358" s="16" t="str">
        <f t="shared" si="6"/>
        <v>Junio</v>
      </c>
    </row>
    <row r="359" spans="1:7" x14ac:dyDescent="0.25">
      <c r="A359" s="16" t="s">
        <v>5</v>
      </c>
      <c r="B359" s="24">
        <v>46174</v>
      </c>
      <c r="C359" s="16" t="s">
        <v>103</v>
      </c>
      <c r="D359" s="16" t="s">
        <v>104</v>
      </c>
      <c r="E359" s="17">
        <f>1000+225.9</f>
        <v>1225.9000000000001</v>
      </c>
      <c r="F359" s="16" t="s">
        <v>180</v>
      </c>
      <c r="G359" s="16" t="str">
        <f t="shared" si="6"/>
        <v>Junio</v>
      </c>
    </row>
    <row r="360" spans="1:7" x14ac:dyDescent="0.25">
      <c r="A360" s="16" t="s">
        <v>5</v>
      </c>
      <c r="B360" s="24">
        <v>46174</v>
      </c>
      <c r="C360" s="16" t="s">
        <v>103</v>
      </c>
      <c r="D360" s="16" t="s">
        <v>104</v>
      </c>
      <c r="E360" s="17">
        <v>899.9</v>
      </c>
      <c r="F360" s="16" t="s">
        <v>73</v>
      </c>
      <c r="G360" s="16" t="str">
        <f t="shared" si="6"/>
        <v>Junio</v>
      </c>
    </row>
    <row r="361" spans="1:7" x14ac:dyDescent="0.25">
      <c r="A361" s="16" t="s">
        <v>9</v>
      </c>
      <c r="B361" s="24">
        <v>46174</v>
      </c>
      <c r="C361" s="16" t="s">
        <v>42</v>
      </c>
      <c r="D361" s="16" t="s">
        <v>87</v>
      </c>
      <c r="E361" s="17">
        <f>19.4-3.74</f>
        <v>15.659999999999998</v>
      </c>
      <c r="F361" s="16" t="s">
        <v>70</v>
      </c>
      <c r="G361" s="16" t="str">
        <f t="shared" si="6"/>
        <v>Junio</v>
      </c>
    </row>
    <row r="362" spans="1:7" x14ac:dyDescent="0.25">
      <c r="A362" s="16" t="s">
        <v>9</v>
      </c>
      <c r="B362" s="24">
        <v>46174</v>
      </c>
      <c r="C362" s="16" t="s">
        <v>32</v>
      </c>
      <c r="D362" s="16" t="s">
        <v>158</v>
      </c>
      <c r="E362" s="17">
        <v>880.45</v>
      </c>
      <c r="F362" s="16" t="s">
        <v>70</v>
      </c>
      <c r="G362" s="16" t="str">
        <f t="shared" si="6"/>
        <v>Junio</v>
      </c>
    </row>
    <row r="363" spans="1:7" x14ac:dyDescent="0.25">
      <c r="A363" s="16" t="s">
        <v>9</v>
      </c>
      <c r="B363" s="24">
        <v>46174</v>
      </c>
      <c r="C363" s="16" t="s">
        <v>32</v>
      </c>
      <c r="D363" s="16" t="s">
        <v>101</v>
      </c>
      <c r="E363" s="17">
        <v>20</v>
      </c>
      <c r="F363" s="16" t="s">
        <v>70</v>
      </c>
      <c r="G363" s="16" t="str">
        <f t="shared" si="6"/>
        <v>Junio</v>
      </c>
    </row>
    <row r="364" spans="1:7" x14ac:dyDescent="0.25">
      <c r="A364" s="16" t="s">
        <v>9</v>
      </c>
      <c r="B364" s="24">
        <v>46174</v>
      </c>
      <c r="C364" s="16" t="s">
        <v>42</v>
      </c>
      <c r="D364" s="16" t="s">
        <v>176</v>
      </c>
      <c r="E364" s="17">
        <v>434</v>
      </c>
      <c r="F364" s="16" t="s">
        <v>70</v>
      </c>
      <c r="G364" s="16" t="str">
        <f t="shared" si="6"/>
        <v>Junio</v>
      </c>
    </row>
    <row r="365" spans="1:7" x14ac:dyDescent="0.25">
      <c r="A365" s="16" t="s">
        <v>9</v>
      </c>
      <c r="B365" s="24">
        <v>46174</v>
      </c>
      <c r="C365" s="16" t="s">
        <v>42</v>
      </c>
      <c r="D365" s="16" t="s">
        <v>116</v>
      </c>
      <c r="E365" s="17">
        <v>26</v>
      </c>
      <c r="F365" s="16" t="s">
        <v>70</v>
      </c>
      <c r="G365" s="16" t="str">
        <f t="shared" si="6"/>
        <v>Junio</v>
      </c>
    </row>
    <row r="366" spans="1:7" x14ac:dyDescent="0.25">
      <c r="A366" s="16" t="s">
        <v>9</v>
      </c>
      <c r="B366" s="24">
        <v>46174</v>
      </c>
      <c r="C366" s="16" t="s">
        <v>42</v>
      </c>
      <c r="D366" s="16" t="s">
        <v>178</v>
      </c>
      <c r="E366" s="17">
        <v>10</v>
      </c>
      <c r="F366" s="16" t="s">
        <v>70</v>
      </c>
      <c r="G366" s="16" t="str">
        <f t="shared" si="6"/>
        <v>Junio</v>
      </c>
    </row>
    <row r="367" spans="1:7" x14ac:dyDescent="0.25">
      <c r="A367" s="16" t="s">
        <v>9</v>
      </c>
      <c r="B367" s="24">
        <v>46174</v>
      </c>
      <c r="C367" s="16" t="s">
        <v>33</v>
      </c>
      <c r="D367" s="16" t="s">
        <v>129</v>
      </c>
      <c r="E367" s="17">
        <v>54.2</v>
      </c>
      <c r="F367" s="16" t="s">
        <v>73</v>
      </c>
      <c r="G367" s="16" t="str">
        <f t="shared" si="6"/>
        <v>Junio</v>
      </c>
    </row>
    <row r="368" spans="1:7" x14ac:dyDescent="0.25">
      <c r="A368" s="16" t="s">
        <v>9</v>
      </c>
      <c r="B368" s="24">
        <v>46174</v>
      </c>
      <c r="C368" s="16" t="s">
        <v>33</v>
      </c>
      <c r="D368" s="16" t="s">
        <v>152</v>
      </c>
      <c r="E368" s="17">
        <v>17</v>
      </c>
      <c r="F368" s="16" t="s">
        <v>73</v>
      </c>
      <c r="G368" s="16" t="str">
        <f t="shared" si="6"/>
        <v>Junio</v>
      </c>
    </row>
    <row r="369" spans="1:7" x14ac:dyDescent="0.25">
      <c r="A369" s="16" t="s">
        <v>9</v>
      </c>
      <c r="B369" s="24">
        <v>46174</v>
      </c>
      <c r="C369" s="16" t="s">
        <v>63</v>
      </c>
      <c r="D369" s="16" t="s">
        <v>159</v>
      </c>
      <c r="E369" s="17">
        <v>245.75</v>
      </c>
      <c r="F369" s="16" t="s">
        <v>70</v>
      </c>
      <c r="G369" s="16" t="str">
        <f t="shared" si="6"/>
        <v>Junio</v>
      </c>
    </row>
    <row r="370" spans="1:7" x14ac:dyDescent="0.25">
      <c r="A370" s="16" t="s">
        <v>9</v>
      </c>
      <c r="B370" s="24">
        <v>46174</v>
      </c>
      <c r="C370" s="16" t="s">
        <v>42</v>
      </c>
      <c r="D370" s="16" t="s">
        <v>178</v>
      </c>
      <c r="E370" s="17">
        <v>60</v>
      </c>
      <c r="F370" s="16" t="s">
        <v>73</v>
      </c>
      <c r="G370" s="16" t="str">
        <f t="shared" si="6"/>
        <v>Junio</v>
      </c>
    </row>
    <row r="371" spans="1:7" x14ac:dyDescent="0.25">
      <c r="A371" s="16" t="s">
        <v>9</v>
      </c>
      <c r="B371" s="24">
        <v>46174</v>
      </c>
      <c r="C371" s="16" t="s">
        <v>42</v>
      </c>
      <c r="D371" s="16" t="s">
        <v>178</v>
      </c>
      <c r="E371" s="17">
        <v>75</v>
      </c>
      <c r="F371" s="16" t="s">
        <v>73</v>
      </c>
      <c r="G371" s="16" t="str">
        <f t="shared" si="6"/>
        <v>Junio</v>
      </c>
    </row>
    <row r="372" spans="1:7" x14ac:dyDescent="0.25">
      <c r="A372" s="16" t="s">
        <v>9</v>
      </c>
      <c r="B372" s="24">
        <v>46174</v>
      </c>
      <c r="C372" s="16" t="s">
        <v>33</v>
      </c>
      <c r="D372" s="16" t="s">
        <v>106</v>
      </c>
      <c r="E372" s="17">
        <f>5.17-1.5</f>
        <v>3.67</v>
      </c>
      <c r="F372" s="16" t="s">
        <v>70</v>
      </c>
      <c r="G372" s="16" t="str">
        <f t="shared" si="6"/>
        <v>Junio</v>
      </c>
    </row>
    <row r="373" spans="1:7" x14ac:dyDescent="0.25">
      <c r="A373" s="16" t="s">
        <v>9</v>
      </c>
      <c r="B373" s="24">
        <v>46174</v>
      </c>
      <c r="C373" s="16" t="s">
        <v>33</v>
      </c>
      <c r="D373" s="16" t="s">
        <v>109</v>
      </c>
      <c r="E373" s="17">
        <v>37.9</v>
      </c>
      <c r="F373" s="16" t="s">
        <v>70</v>
      </c>
      <c r="G373" s="16" t="str">
        <f t="shared" si="6"/>
        <v>Junio</v>
      </c>
    </row>
    <row r="374" spans="1:7" x14ac:dyDescent="0.25">
      <c r="A374" s="16" t="s">
        <v>9</v>
      </c>
      <c r="B374" s="24">
        <v>46174</v>
      </c>
      <c r="C374" s="16" t="s">
        <v>33</v>
      </c>
      <c r="D374" s="16" t="s">
        <v>227</v>
      </c>
      <c r="E374" s="17">
        <v>8.5</v>
      </c>
      <c r="F374" s="16" t="s">
        <v>70</v>
      </c>
      <c r="G374" s="16" t="str">
        <f t="shared" si="6"/>
        <v>Junio</v>
      </c>
    </row>
    <row r="375" spans="1:7" x14ac:dyDescent="0.25">
      <c r="A375" s="16" t="s">
        <v>9</v>
      </c>
      <c r="B375" s="24">
        <v>46174</v>
      </c>
      <c r="C375" s="16" t="s">
        <v>33</v>
      </c>
      <c r="D375" s="16" t="s">
        <v>181</v>
      </c>
      <c r="E375" s="17">
        <v>66.66</v>
      </c>
      <c r="F375" s="16" t="s">
        <v>70</v>
      </c>
      <c r="G375" s="16" t="str">
        <f t="shared" si="6"/>
        <v>Junio</v>
      </c>
    </row>
    <row r="376" spans="1:7" x14ac:dyDescent="0.25">
      <c r="A376" s="16" t="s">
        <v>9</v>
      </c>
      <c r="B376" s="24">
        <v>46174</v>
      </c>
      <c r="C376" s="16" t="s">
        <v>33</v>
      </c>
      <c r="D376" s="16" t="s">
        <v>182</v>
      </c>
      <c r="E376" s="17">
        <v>41.17</v>
      </c>
      <c r="F376" s="16" t="s">
        <v>70</v>
      </c>
      <c r="G376" s="16" t="str">
        <f t="shared" si="6"/>
        <v>Junio</v>
      </c>
    </row>
    <row r="377" spans="1:7" x14ac:dyDescent="0.25">
      <c r="A377" s="16" t="s">
        <v>9</v>
      </c>
      <c r="B377" s="24">
        <v>46174</v>
      </c>
      <c r="C377" s="16" t="s">
        <v>33</v>
      </c>
      <c r="D377" s="16" t="s">
        <v>106</v>
      </c>
      <c r="E377" s="17">
        <v>7</v>
      </c>
      <c r="F377" s="16" t="s">
        <v>70</v>
      </c>
      <c r="G377" s="16" t="str">
        <f t="shared" si="6"/>
        <v>Junio</v>
      </c>
    </row>
    <row r="378" spans="1:7" x14ac:dyDescent="0.25">
      <c r="A378" s="16" t="s">
        <v>9</v>
      </c>
      <c r="B378" s="24">
        <v>46174</v>
      </c>
      <c r="C378" s="16" t="s">
        <v>33</v>
      </c>
      <c r="D378" s="16" t="s">
        <v>106</v>
      </c>
      <c r="E378" s="17">
        <v>2</v>
      </c>
      <c r="F378" s="16" t="s">
        <v>70</v>
      </c>
      <c r="G378" s="16" t="str">
        <f t="shared" si="6"/>
        <v>Junio</v>
      </c>
    </row>
    <row r="379" spans="1:7" x14ac:dyDescent="0.25">
      <c r="A379" s="16" t="s">
        <v>9</v>
      </c>
      <c r="B379" s="24">
        <v>46174</v>
      </c>
      <c r="C379" s="16" t="s">
        <v>33</v>
      </c>
      <c r="D379" s="16" t="s">
        <v>112</v>
      </c>
      <c r="E379" s="17">
        <v>27.5</v>
      </c>
      <c r="F379" s="16" t="s">
        <v>73</v>
      </c>
      <c r="G379" s="16" t="str">
        <f t="shared" si="6"/>
        <v>Junio</v>
      </c>
    </row>
    <row r="380" spans="1:7" x14ac:dyDescent="0.25">
      <c r="A380" s="16" t="s">
        <v>9</v>
      </c>
      <c r="B380" s="24">
        <v>46174</v>
      </c>
      <c r="C380" s="16" t="s">
        <v>33</v>
      </c>
      <c r="D380" s="16" t="s">
        <v>124</v>
      </c>
      <c r="E380" s="17">
        <v>38.299999999999997</v>
      </c>
      <c r="F380" s="16" t="s">
        <v>70</v>
      </c>
      <c r="G380" s="16" t="str">
        <f t="shared" si="6"/>
        <v>Junio</v>
      </c>
    </row>
    <row r="381" spans="1:7" x14ac:dyDescent="0.25">
      <c r="A381" s="16" t="s">
        <v>9</v>
      </c>
      <c r="B381" s="24">
        <v>46174</v>
      </c>
      <c r="C381" s="16" t="s">
        <v>33</v>
      </c>
      <c r="D381" s="16" t="s">
        <v>133</v>
      </c>
      <c r="E381" s="17">
        <v>20</v>
      </c>
      <c r="F381" s="16" t="s">
        <v>70</v>
      </c>
      <c r="G381" s="16" t="str">
        <f t="shared" si="6"/>
        <v>Junio</v>
      </c>
    </row>
    <row r="382" spans="1:7" x14ac:dyDescent="0.25">
      <c r="A382" s="16" t="s">
        <v>9</v>
      </c>
      <c r="B382" s="24">
        <v>46174</v>
      </c>
      <c r="C382" s="16" t="s">
        <v>42</v>
      </c>
      <c r="D382" s="16" t="s">
        <v>87</v>
      </c>
      <c r="E382" s="17">
        <v>16.7</v>
      </c>
      <c r="F382" s="16" t="s">
        <v>70</v>
      </c>
      <c r="G382" s="16" t="str">
        <f t="shared" si="6"/>
        <v>Junio</v>
      </c>
    </row>
    <row r="383" spans="1:7" x14ac:dyDescent="0.25">
      <c r="A383" s="16" t="s">
        <v>9</v>
      </c>
      <c r="B383" s="24">
        <v>46174</v>
      </c>
      <c r="C383" s="16" t="s">
        <v>32</v>
      </c>
      <c r="D383" s="16" t="s">
        <v>76</v>
      </c>
      <c r="E383" s="17">
        <v>11.9</v>
      </c>
      <c r="F383" s="16" t="s">
        <v>73</v>
      </c>
      <c r="G383" s="16" t="str">
        <f t="shared" si="6"/>
        <v>Junio</v>
      </c>
    </row>
    <row r="384" spans="1:7" x14ac:dyDescent="0.25">
      <c r="A384" s="16" t="s">
        <v>9</v>
      </c>
      <c r="B384" s="24">
        <v>46174</v>
      </c>
      <c r="C384" s="16" t="s">
        <v>42</v>
      </c>
      <c r="D384" s="16" t="s">
        <v>168</v>
      </c>
      <c r="E384" s="17">
        <v>9</v>
      </c>
      <c r="F384" s="16" t="s">
        <v>70</v>
      </c>
      <c r="G384" s="16" t="str">
        <f t="shared" si="6"/>
        <v>Junio</v>
      </c>
    </row>
    <row r="385" spans="1:7" x14ac:dyDescent="0.25">
      <c r="A385" s="16" t="s">
        <v>9</v>
      </c>
      <c r="B385" s="24">
        <v>46174</v>
      </c>
      <c r="C385" s="16" t="s">
        <v>32</v>
      </c>
      <c r="D385" s="16" t="s">
        <v>96</v>
      </c>
      <c r="E385" s="17">
        <v>158.1</v>
      </c>
      <c r="F385" s="16" t="s">
        <v>70</v>
      </c>
      <c r="G385" s="16" t="str">
        <f t="shared" si="6"/>
        <v>Junio</v>
      </c>
    </row>
    <row r="386" spans="1:7" x14ac:dyDescent="0.25">
      <c r="A386" s="16" t="s">
        <v>9</v>
      </c>
      <c r="B386" s="24">
        <v>46174</v>
      </c>
      <c r="C386" s="16" t="s">
        <v>32</v>
      </c>
      <c r="D386" s="16" t="s">
        <v>93</v>
      </c>
      <c r="E386" s="17">
        <v>79</v>
      </c>
      <c r="F386" s="16" t="s">
        <v>73</v>
      </c>
      <c r="G386" s="16" t="str">
        <f t="shared" si="6"/>
        <v>Junio</v>
      </c>
    </row>
    <row r="387" spans="1:7" x14ac:dyDescent="0.25">
      <c r="A387" s="16" t="s">
        <v>9</v>
      </c>
      <c r="B387" s="24">
        <v>46174</v>
      </c>
      <c r="C387" s="16" t="s">
        <v>32</v>
      </c>
      <c r="D387" s="16" t="s">
        <v>94</v>
      </c>
      <c r="E387" s="17">
        <v>102</v>
      </c>
      <c r="F387" s="16" t="s">
        <v>73</v>
      </c>
      <c r="G387" s="16" t="str">
        <f t="shared" si="6"/>
        <v>Junio</v>
      </c>
    </row>
    <row r="388" spans="1:7" x14ac:dyDescent="0.25">
      <c r="A388" s="16" t="s">
        <v>9</v>
      </c>
      <c r="B388" s="24">
        <v>46174</v>
      </c>
      <c r="C388" s="16" t="s">
        <v>32</v>
      </c>
      <c r="D388" s="16" t="s">
        <v>95</v>
      </c>
      <c r="E388" s="17">
        <v>44.9</v>
      </c>
      <c r="F388" s="16" t="s">
        <v>73</v>
      </c>
      <c r="G388" s="16" t="str">
        <f t="shared" si="6"/>
        <v>Junio</v>
      </c>
    </row>
    <row r="389" spans="1:7" x14ac:dyDescent="0.25">
      <c r="A389" s="16" t="s">
        <v>9</v>
      </c>
      <c r="B389" s="24">
        <v>46175</v>
      </c>
      <c r="C389" s="16" t="s">
        <v>42</v>
      </c>
      <c r="D389" s="16" t="s">
        <v>178</v>
      </c>
      <c r="E389" s="17">
        <v>79.900000000000006</v>
      </c>
      <c r="F389" s="16" t="s">
        <v>73</v>
      </c>
      <c r="G389" s="16" t="str">
        <f t="shared" si="6"/>
        <v>Junio</v>
      </c>
    </row>
    <row r="390" spans="1:7" x14ac:dyDescent="0.25">
      <c r="A390" s="16" t="s">
        <v>9</v>
      </c>
      <c r="B390" s="24">
        <v>46175</v>
      </c>
      <c r="C390" s="16" t="s">
        <v>33</v>
      </c>
      <c r="D390" s="16" t="s">
        <v>106</v>
      </c>
      <c r="E390" s="17">
        <v>3.5</v>
      </c>
      <c r="F390" s="16" t="s">
        <v>70</v>
      </c>
      <c r="G390" s="16" t="str">
        <f t="shared" si="6"/>
        <v>Junio</v>
      </c>
    </row>
    <row r="391" spans="1:7" x14ac:dyDescent="0.25">
      <c r="A391" s="16" t="s">
        <v>9</v>
      </c>
      <c r="B391" s="24">
        <v>46175</v>
      </c>
      <c r="C391" s="16" t="s">
        <v>42</v>
      </c>
      <c r="D391" s="16" t="s">
        <v>178</v>
      </c>
      <c r="E391" s="17">
        <v>15</v>
      </c>
      <c r="F391" s="16" t="s">
        <v>70</v>
      </c>
      <c r="G391" s="16" t="str">
        <f t="shared" si="6"/>
        <v>Junio</v>
      </c>
    </row>
    <row r="392" spans="1:7" x14ac:dyDescent="0.25">
      <c r="A392" s="16" t="s">
        <v>9</v>
      </c>
      <c r="B392" s="24">
        <v>46175</v>
      </c>
      <c r="C392" s="16" t="s">
        <v>33</v>
      </c>
      <c r="D392" s="16" t="s">
        <v>106</v>
      </c>
      <c r="E392" s="17">
        <v>3.5</v>
      </c>
      <c r="F392" s="16" t="s">
        <v>70</v>
      </c>
      <c r="G392" s="16" t="str">
        <f t="shared" si="6"/>
        <v>Junio</v>
      </c>
    </row>
    <row r="393" spans="1:7" x14ac:dyDescent="0.25">
      <c r="A393" s="16" t="s">
        <v>9</v>
      </c>
      <c r="B393" s="24">
        <v>46176</v>
      </c>
      <c r="C393" s="16" t="s">
        <v>33</v>
      </c>
      <c r="D393" s="16" t="s">
        <v>183</v>
      </c>
      <c r="E393" s="17">
        <v>170.4</v>
      </c>
      <c r="F393" s="16" t="s">
        <v>73</v>
      </c>
      <c r="G393" s="16" t="str">
        <f t="shared" si="6"/>
        <v>Junio</v>
      </c>
    </row>
    <row r="394" spans="1:7" x14ac:dyDescent="0.25">
      <c r="A394" s="16" t="s">
        <v>9</v>
      </c>
      <c r="B394" s="24">
        <v>46178</v>
      </c>
      <c r="C394" s="16" t="s">
        <v>42</v>
      </c>
      <c r="D394" s="16" t="s">
        <v>178</v>
      </c>
      <c r="E394" s="17">
        <v>29.8</v>
      </c>
      <c r="F394" s="16" t="s">
        <v>73</v>
      </c>
      <c r="G394" s="16" t="str">
        <f t="shared" si="6"/>
        <v>Junio</v>
      </c>
    </row>
    <row r="395" spans="1:7" x14ac:dyDescent="0.25">
      <c r="A395" s="16" t="s">
        <v>9</v>
      </c>
      <c r="B395" s="24">
        <v>46178</v>
      </c>
      <c r="C395" s="16" t="s">
        <v>33</v>
      </c>
      <c r="D395" s="16" t="s">
        <v>152</v>
      </c>
      <c r="E395" s="17">
        <v>19.5</v>
      </c>
      <c r="F395" s="16" t="s">
        <v>73</v>
      </c>
      <c r="G395" s="16" t="str">
        <f t="shared" si="6"/>
        <v>Junio</v>
      </c>
    </row>
    <row r="396" spans="1:7" x14ac:dyDescent="0.25">
      <c r="A396" s="16" t="s">
        <v>9</v>
      </c>
      <c r="B396" s="24">
        <v>46178</v>
      </c>
      <c r="C396" s="16" t="s">
        <v>33</v>
      </c>
      <c r="D396" s="16" t="s">
        <v>106</v>
      </c>
      <c r="E396" s="17">
        <v>20</v>
      </c>
      <c r="F396" s="16" t="s">
        <v>70</v>
      </c>
      <c r="G396" s="16" t="str">
        <f t="shared" si="6"/>
        <v>Junio</v>
      </c>
    </row>
    <row r="397" spans="1:7" x14ac:dyDescent="0.25">
      <c r="A397" s="16" t="s">
        <v>9</v>
      </c>
      <c r="B397" s="24">
        <v>46178</v>
      </c>
      <c r="C397" s="16" t="s">
        <v>42</v>
      </c>
      <c r="D397" s="16" t="s">
        <v>178</v>
      </c>
      <c r="E397" s="17">
        <v>100.5</v>
      </c>
      <c r="F397" s="16" t="s">
        <v>73</v>
      </c>
      <c r="G397" s="16" t="str">
        <f t="shared" si="6"/>
        <v>Junio</v>
      </c>
    </row>
    <row r="398" spans="1:7" x14ac:dyDescent="0.25">
      <c r="A398" s="16" t="s">
        <v>9</v>
      </c>
      <c r="B398" s="24">
        <v>46178</v>
      </c>
      <c r="C398" s="16" t="s">
        <v>42</v>
      </c>
      <c r="D398" s="16" t="s">
        <v>178</v>
      </c>
      <c r="E398" s="17">
        <v>30</v>
      </c>
      <c r="F398" s="16" t="s">
        <v>73</v>
      </c>
      <c r="G398" s="16" t="str">
        <f t="shared" si="6"/>
        <v>Junio</v>
      </c>
    </row>
    <row r="399" spans="1:7" x14ac:dyDescent="0.25">
      <c r="A399" s="16" t="s">
        <v>9</v>
      </c>
      <c r="B399" s="24">
        <v>46178</v>
      </c>
      <c r="C399" s="16" t="s">
        <v>32</v>
      </c>
      <c r="D399" s="16" t="s">
        <v>117</v>
      </c>
      <c r="E399" s="17">
        <v>16.899999999999999</v>
      </c>
      <c r="F399" s="16" t="s">
        <v>180</v>
      </c>
      <c r="G399" s="16" t="str">
        <f t="shared" si="6"/>
        <v>Junio</v>
      </c>
    </row>
    <row r="400" spans="1:7" x14ac:dyDescent="0.25">
      <c r="A400" s="16" t="s">
        <v>9</v>
      </c>
      <c r="B400" s="24">
        <v>46178</v>
      </c>
      <c r="C400" s="16" t="s">
        <v>33</v>
      </c>
      <c r="D400" t="s">
        <v>122</v>
      </c>
      <c r="E400" s="17">
        <v>67.8</v>
      </c>
      <c r="F400" s="16" t="s">
        <v>180</v>
      </c>
      <c r="G400" s="16" t="str">
        <f t="shared" si="6"/>
        <v>Junio</v>
      </c>
    </row>
    <row r="401" spans="1:7" x14ac:dyDescent="0.25">
      <c r="A401" s="16" t="s">
        <v>9</v>
      </c>
      <c r="B401" s="24">
        <v>46180</v>
      </c>
      <c r="C401" s="16" t="s">
        <v>33</v>
      </c>
      <c r="D401" s="16" t="s">
        <v>108</v>
      </c>
      <c r="E401" s="17">
        <v>112</v>
      </c>
      <c r="F401" s="16" t="s">
        <v>180</v>
      </c>
      <c r="G401" s="16" t="str">
        <f t="shared" si="6"/>
        <v>Junio</v>
      </c>
    </row>
    <row r="402" spans="1:7" x14ac:dyDescent="0.25">
      <c r="A402" s="16" t="s">
        <v>9</v>
      </c>
      <c r="B402" s="24">
        <v>46181</v>
      </c>
      <c r="C402" s="16" t="s">
        <v>33</v>
      </c>
      <c r="D402" s="16" t="s">
        <v>179</v>
      </c>
      <c r="E402" s="17">
        <v>30</v>
      </c>
      <c r="F402" s="16" t="s">
        <v>180</v>
      </c>
      <c r="G402" s="16" t="str">
        <f t="shared" si="6"/>
        <v>Junio</v>
      </c>
    </row>
    <row r="403" spans="1:7" x14ac:dyDescent="0.25">
      <c r="A403" s="16" t="s">
        <v>5</v>
      </c>
      <c r="B403" s="24">
        <v>46181</v>
      </c>
      <c r="C403" s="16" t="s">
        <v>43</v>
      </c>
      <c r="D403" s="16" t="s">
        <v>184</v>
      </c>
      <c r="E403" s="17">
        <f>115.05+9.06-6.25</f>
        <v>117.86</v>
      </c>
      <c r="F403" s="16" t="s">
        <v>70</v>
      </c>
      <c r="G403" s="16" t="str">
        <f t="shared" si="6"/>
        <v>Junio</v>
      </c>
    </row>
    <row r="404" spans="1:7" x14ac:dyDescent="0.25">
      <c r="A404" s="16" t="s">
        <v>9</v>
      </c>
      <c r="B404" s="24">
        <v>46181</v>
      </c>
      <c r="C404" s="16" t="s">
        <v>33</v>
      </c>
      <c r="D404" s="16" t="s">
        <v>124</v>
      </c>
      <c r="E404" s="17">
        <v>12</v>
      </c>
      <c r="F404" s="16" t="s">
        <v>70</v>
      </c>
      <c r="G404" s="16" t="str">
        <f t="shared" si="6"/>
        <v>Junio</v>
      </c>
    </row>
    <row r="405" spans="1:7" x14ac:dyDescent="0.25">
      <c r="A405" s="16" t="s">
        <v>9</v>
      </c>
      <c r="B405" s="24">
        <v>46181</v>
      </c>
      <c r="C405" s="16" t="s">
        <v>33</v>
      </c>
      <c r="D405" s="16" t="s">
        <v>106</v>
      </c>
      <c r="E405" s="17">
        <v>50</v>
      </c>
      <c r="F405" s="16" t="s">
        <v>70</v>
      </c>
      <c r="G405" s="16" t="str">
        <f t="shared" si="6"/>
        <v>Junio</v>
      </c>
    </row>
    <row r="406" spans="1:7" x14ac:dyDescent="0.25">
      <c r="A406" s="16" t="s">
        <v>9</v>
      </c>
      <c r="B406" s="24">
        <v>46182</v>
      </c>
      <c r="C406" s="16" t="s">
        <v>33</v>
      </c>
      <c r="D406" s="16" t="s">
        <v>152</v>
      </c>
      <c r="E406" s="17">
        <v>20</v>
      </c>
      <c r="F406" s="16" t="s">
        <v>180</v>
      </c>
      <c r="G406" s="16" t="str">
        <f t="shared" si="6"/>
        <v>Junio</v>
      </c>
    </row>
    <row r="407" spans="1:7" x14ac:dyDescent="0.25">
      <c r="A407" s="16" t="s">
        <v>9</v>
      </c>
      <c r="B407" s="24">
        <v>46182</v>
      </c>
      <c r="C407" s="16" t="s">
        <v>33</v>
      </c>
      <c r="D407" s="16" t="s">
        <v>106</v>
      </c>
      <c r="E407" s="17">
        <v>2.5</v>
      </c>
      <c r="F407" s="16" t="s">
        <v>70</v>
      </c>
      <c r="G407" s="16" t="str">
        <f t="shared" si="6"/>
        <v>Junio</v>
      </c>
    </row>
    <row r="408" spans="1:7" x14ac:dyDescent="0.25">
      <c r="A408" s="16" t="s">
        <v>9</v>
      </c>
      <c r="B408" s="24">
        <v>46182</v>
      </c>
      <c r="C408" s="16" t="s">
        <v>42</v>
      </c>
      <c r="D408" s="16" t="s">
        <v>178</v>
      </c>
      <c r="E408" s="17">
        <v>10</v>
      </c>
      <c r="F408" s="16" t="s">
        <v>70</v>
      </c>
      <c r="G408" s="16" t="str">
        <f t="shared" si="6"/>
        <v>Junio</v>
      </c>
    </row>
    <row r="409" spans="1:7" x14ac:dyDescent="0.25">
      <c r="A409" s="16" t="s">
        <v>9</v>
      </c>
      <c r="B409" s="24">
        <v>46182</v>
      </c>
      <c r="C409" s="16" t="s">
        <v>33</v>
      </c>
      <c r="D409" s="16" t="s">
        <v>106</v>
      </c>
      <c r="E409" s="17">
        <v>6.5</v>
      </c>
      <c r="F409" s="16" t="s">
        <v>70</v>
      </c>
      <c r="G409" s="16" t="str">
        <f t="shared" si="6"/>
        <v>Junio</v>
      </c>
    </row>
    <row r="410" spans="1:7" x14ac:dyDescent="0.25">
      <c r="A410" s="16" t="s">
        <v>9</v>
      </c>
      <c r="B410" s="24">
        <v>46182</v>
      </c>
      <c r="C410" s="16" t="s">
        <v>33</v>
      </c>
      <c r="D410" s="16" t="s">
        <v>106</v>
      </c>
      <c r="E410" s="17">
        <v>4</v>
      </c>
      <c r="F410" s="16" t="s">
        <v>70</v>
      </c>
      <c r="G410" s="16" t="str">
        <f t="shared" si="6"/>
        <v>Junio</v>
      </c>
    </row>
    <row r="411" spans="1:7" x14ac:dyDescent="0.25">
      <c r="A411" s="16" t="s">
        <v>9</v>
      </c>
      <c r="B411" s="24">
        <v>46182</v>
      </c>
      <c r="C411" s="16" t="s">
        <v>33</v>
      </c>
      <c r="D411" s="16" t="s">
        <v>152</v>
      </c>
      <c r="E411" s="17">
        <v>13</v>
      </c>
      <c r="F411" s="16" t="s">
        <v>180</v>
      </c>
      <c r="G411" s="16" t="str">
        <f t="shared" si="6"/>
        <v>Junio</v>
      </c>
    </row>
    <row r="412" spans="1:7" x14ac:dyDescent="0.25">
      <c r="A412" s="16" t="s">
        <v>9</v>
      </c>
      <c r="B412" s="24">
        <v>46182</v>
      </c>
      <c r="C412" s="16" t="s">
        <v>42</v>
      </c>
      <c r="D412" s="16" t="s">
        <v>178</v>
      </c>
      <c r="E412" s="17">
        <v>55.3</v>
      </c>
      <c r="F412" s="16" t="s">
        <v>180</v>
      </c>
      <c r="G412" s="16" t="str">
        <f t="shared" si="6"/>
        <v>Junio</v>
      </c>
    </row>
    <row r="413" spans="1:7" x14ac:dyDescent="0.25">
      <c r="A413" s="16" t="s">
        <v>9</v>
      </c>
      <c r="B413" s="24">
        <v>46183</v>
      </c>
      <c r="C413" s="16" t="s">
        <v>33</v>
      </c>
      <c r="D413" s="16" t="s">
        <v>152</v>
      </c>
      <c r="E413" s="17">
        <v>18</v>
      </c>
      <c r="F413" s="16" t="s">
        <v>73</v>
      </c>
      <c r="G413" s="16" t="str">
        <f t="shared" si="6"/>
        <v>Junio</v>
      </c>
    </row>
    <row r="414" spans="1:7" x14ac:dyDescent="0.25">
      <c r="A414" s="16" t="s">
        <v>9</v>
      </c>
      <c r="B414" s="24">
        <v>46183</v>
      </c>
      <c r="C414" s="16" t="s">
        <v>33</v>
      </c>
      <c r="D414" s="16" t="s">
        <v>108</v>
      </c>
      <c r="E414" s="17">
        <v>25.5</v>
      </c>
      <c r="F414" s="16" t="s">
        <v>73</v>
      </c>
      <c r="G414" s="16" t="str">
        <f t="shared" si="6"/>
        <v>Junio</v>
      </c>
    </row>
    <row r="415" spans="1:7" x14ac:dyDescent="0.25">
      <c r="A415" s="16" t="s">
        <v>9</v>
      </c>
      <c r="B415" s="24">
        <v>46183</v>
      </c>
      <c r="C415" s="16" t="s">
        <v>33</v>
      </c>
      <c r="D415" s="16" t="s">
        <v>106</v>
      </c>
      <c r="E415" s="17">
        <v>5.5</v>
      </c>
      <c r="F415" s="16" t="s">
        <v>70</v>
      </c>
      <c r="G415" s="16" t="str">
        <f t="shared" si="6"/>
        <v>Junio</v>
      </c>
    </row>
    <row r="416" spans="1:7" x14ac:dyDescent="0.25">
      <c r="A416" s="16" t="s">
        <v>9</v>
      </c>
      <c r="B416" s="24">
        <v>46183</v>
      </c>
      <c r="C416" s="16" t="s">
        <v>33</v>
      </c>
      <c r="D416" s="16" t="s">
        <v>106</v>
      </c>
      <c r="E416" s="17">
        <v>11.6</v>
      </c>
      <c r="F416" s="16" t="s">
        <v>70</v>
      </c>
      <c r="G416" s="16" t="str">
        <f t="shared" si="6"/>
        <v>Junio</v>
      </c>
    </row>
    <row r="417" spans="1:7" x14ac:dyDescent="0.25">
      <c r="A417" s="16" t="s">
        <v>9</v>
      </c>
      <c r="B417" s="24">
        <v>46184</v>
      </c>
      <c r="C417" s="16" t="s">
        <v>32</v>
      </c>
      <c r="D417" s="16" t="s">
        <v>153</v>
      </c>
      <c r="E417" s="17">
        <v>21.5</v>
      </c>
      <c r="F417" s="16" t="s">
        <v>70</v>
      </c>
      <c r="G417" s="16" t="str">
        <f t="shared" ref="G417:G466" si="7">TEXT(B417,"MMMM")</f>
        <v>Junio</v>
      </c>
    </row>
    <row r="418" spans="1:7" x14ac:dyDescent="0.25">
      <c r="A418" s="16" t="s">
        <v>9</v>
      </c>
      <c r="B418" s="24">
        <v>46184</v>
      </c>
      <c r="C418" s="16" t="s">
        <v>42</v>
      </c>
      <c r="D418" s="16" t="s">
        <v>178</v>
      </c>
      <c r="E418" s="17">
        <v>69</v>
      </c>
      <c r="F418" s="16" t="s">
        <v>70</v>
      </c>
      <c r="G418" s="16" t="str">
        <f t="shared" si="7"/>
        <v>Junio</v>
      </c>
    </row>
    <row r="419" spans="1:7" x14ac:dyDescent="0.25">
      <c r="A419" s="16" t="s">
        <v>5</v>
      </c>
      <c r="B419" s="24">
        <v>46184</v>
      </c>
      <c r="C419" s="16" t="s">
        <v>43</v>
      </c>
      <c r="D419" s="16" t="s">
        <v>185</v>
      </c>
      <c r="E419" s="17">
        <v>600</v>
      </c>
      <c r="F419" s="16" t="s">
        <v>70</v>
      </c>
      <c r="G419" s="16" t="str">
        <f t="shared" si="7"/>
        <v>Junio</v>
      </c>
    </row>
    <row r="420" spans="1:7" x14ac:dyDescent="0.25">
      <c r="A420" s="16" t="s">
        <v>9</v>
      </c>
      <c r="B420" s="24">
        <v>46184</v>
      </c>
      <c r="C420" s="16" t="s">
        <v>33</v>
      </c>
      <c r="D420" s="16" t="s">
        <v>227</v>
      </c>
      <c r="E420" s="17">
        <v>5</v>
      </c>
      <c r="F420" s="16" t="s">
        <v>70</v>
      </c>
      <c r="G420" s="16" t="str">
        <f t="shared" si="7"/>
        <v>Junio</v>
      </c>
    </row>
    <row r="421" spans="1:7" x14ac:dyDescent="0.25">
      <c r="A421" s="16" t="s">
        <v>9</v>
      </c>
      <c r="B421" s="24">
        <v>46184</v>
      </c>
      <c r="C421" s="16" t="s">
        <v>33</v>
      </c>
      <c r="D421" s="16" t="s">
        <v>186</v>
      </c>
      <c r="E421" s="17">
        <v>9</v>
      </c>
      <c r="F421" s="16" t="s">
        <v>70</v>
      </c>
      <c r="G421" s="16" t="str">
        <f t="shared" si="7"/>
        <v>Junio</v>
      </c>
    </row>
    <row r="422" spans="1:7" x14ac:dyDescent="0.25">
      <c r="A422" s="16" t="s">
        <v>9</v>
      </c>
      <c r="B422" s="24">
        <v>46185</v>
      </c>
      <c r="C422" s="16" t="s">
        <v>33</v>
      </c>
      <c r="D422" s="16" t="s">
        <v>109</v>
      </c>
      <c r="E422" s="17">
        <v>10</v>
      </c>
      <c r="F422" s="16" t="s">
        <v>70</v>
      </c>
      <c r="G422" s="16" t="str">
        <f t="shared" si="7"/>
        <v>Junio</v>
      </c>
    </row>
    <row r="423" spans="1:7" x14ac:dyDescent="0.25">
      <c r="A423" s="16" t="s">
        <v>9</v>
      </c>
      <c r="B423" s="24">
        <v>46185</v>
      </c>
      <c r="C423" s="16" t="s">
        <v>33</v>
      </c>
      <c r="D423" s="16" t="s">
        <v>106</v>
      </c>
      <c r="E423" s="17">
        <v>7</v>
      </c>
      <c r="F423" s="16" t="s">
        <v>70</v>
      </c>
      <c r="G423" s="16" t="str">
        <f t="shared" si="7"/>
        <v>Junio</v>
      </c>
    </row>
    <row r="424" spans="1:7" x14ac:dyDescent="0.25">
      <c r="A424" s="16" t="s">
        <v>9</v>
      </c>
      <c r="B424" s="24">
        <v>46186</v>
      </c>
      <c r="C424" s="16" t="s">
        <v>42</v>
      </c>
      <c r="D424" s="16" t="s">
        <v>178</v>
      </c>
      <c r="E424" s="17">
        <v>25</v>
      </c>
      <c r="F424" s="16" t="s">
        <v>70</v>
      </c>
      <c r="G424" s="16" t="str">
        <f t="shared" si="7"/>
        <v>Junio</v>
      </c>
    </row>
    <row r="425" spans="1:7" x14ac:dyDescent="0.25">
      <c r="A425" s="16" t="s">
        <v>9</v>
      </c>
      <c r="B425" s="24">
        <v>46186</v>
      </c>
      <c r="C425" s="16" t="s">
        <v>33</v>
      </c>
      <c r="D425" s="16" t="s">
        <v>109</v>
      </c>
      <c r="E425" s="17">
        <v>10</v>
      </c>
      <c r="F425" s="16" t="s">
        <v>70</v>
      </c>
      <c r="G425" s="16" t="str">
        <f t="shared" si="7"/>
        <v>Junio</v>
      </c>
    </row>
    <row r="426" spans="1:7" x14ac:dyDescent="0.25">
      <c r="A426" s="16" t="s">
        <v>9</v>
      </c>
      <c r="B426" s="24">
        <v>46186</v>
      </c>
      <c r="C426" s="16" t="s">
        <v>33</v>
      </c>
      <c r="D426" s="16" t="s">
        <v>106</v>
      </c>
      <c r="E426" s="17">
        <v>21.5</v>
      </c>
      <c r="F426" s="16" t="s">
        <v>70</v>
      </c>
      <c r="G426" s="16" t="str">
        <f t="shared" si="7"/>
        <v>Junio</v>
      </c>
    </row>
    <row r="427" spans="1:7" x14ac:dyDescent="0.25">
      <c r="A427" s="16" t="s">
        <v>9</v>
      </c>
      <c r="B427" s="24">
        <v>46186</v>
      </c>
      <c r="C427" s="16" t="s">
        <v>42</v>
      </c>
      <c r="D427" s="16" t="s">
        <v>178</v>
      </c>
      <c r="E427" s="17">
        <v>16.5</v>
      </c>
      <c r="F427" s="16" t="s">
        <v>70</v>
      </c>
      <c r="G427" s="16" t="str">
        <f t="shared" si="7"/>
        <v>Junio</v>
      </c>
    </row>
    <row r="428" spans="1:7" x14ac:dyDescent="0.25">
      <c r="A428" s="16" t="s">
        <v>9</v>
      </c>
      <c r="B428" s="24">
        <v>46186</v>
      </c>
      <c r="C428" s="16" t="s">
        <v>42</v>
      </c>
      <c r="D428" s="16" t="s">
        <v>178</v>
      </c>
      <c r="E428" s="17">
        <v>16</v>
      </c>
      <c r="F428" s="16" t="s">
        <v>73</v>
      </c>
      <c r="G428" s="16" t="str">
        <f t="shared" si="7"/>
        <v>Junio</v>
      </c>
    </row>
    <row r="429" spans="1:7" x14ac:dyDescent="0.25">
      <c r="A429" s="16" t="s">
        <v>9</v>
      </c>
      <c r="B429" s="24">
        <v>46186</v>
      </c>
      <c r="C429" s="16" t="s">
        <v>33</v>
      </c>
      <c r="D429" t="s">
        <v>154</v>
      </c>
      <c r="E429" s="17">
        <v>100</v>
      </c>
      <c r="F429" s="16" t="s">
        <v>180</v>
      </c>
      <c r="G429" s="16" t="str">
        <f t="shared" si="7"/>
        <v>Junio</v>
      </c>
    </row>
    <row r="430" spans="1:7" x14ac:dyDescent="0.25">
      <c r="A430" s="16" t="s">
        <v>9</v>
      </c>
      <c r="B430" s="24">
        <v>46186</v>
      </c>
      <c r="C430" s="16" t="s">
        <v>33</v>
      </c>
      <c r="D430" s="16" t="s">
        <v>187</v>
      </c>
      <c r="E430" s="17">
        <v>54</v>
      </c>
      <c r="F430" s="16" t="s">
        <v>180</v>
      </c>
      <c r="G430" s="16" t="str">
        <f t="shared" si="7"/>
        <v>Junio</v>
      </c>
    </row>
    <row r="431" spans="1:7" x14ac:dyDescent="0.25">
      <c r="A431" s="16" t="s">
        <v>9</v>
      </c>
      <c r="B431" s="24">
        <v>46186</v>
      </c>
      <c r="C431" s="16" t="s">
        <v>42</v>
      </c>
      <c r="D431" s="16" t="s">
        <v>178</v>
      </c>
      <c r="E431" s="17">
        <v>106</v>
      </c>
      <c r="F431" s="16" t="s">
        <v>70</v>
      </c>
      <c r="G431" s="16" t="str">
        <f t="shared" si="7"/>
        <v>Junio</v>
      </c>
    </row>
    <row r="432" spans="1:7" x14ac:dyDescent="0.25">
      <c r="A432" s="16" t="s">
        <v>9</v>
      </c>
      <c r="B432" s="24">
        <v>46186</v>
      </c>
      <c r="C432" s="16" t="s">
        <v>33</v>
      </c>
      <c r="D432" s="16" t="s">
        <v>106</v>
      </c>
      <c r="E432" s="17">
        <v>10.4</v>
      </c>
      <c r="F432" s="16" t="s">
        <v>70</v>
      </c>
      <c r="G432" s="16" t="str">
        <f t="shared" si="7"/>
        <v>Junio</v>
      </c>
    </row>
    <row r="433" spans="1:7" x14ac:dyDescent="0.25">
      <c r="A433" s="16" t="s">
        <v>9</v>
      </c>
      <c r="B433" s="24">
        <v>46186</v>
      </c>
      <c r="C433" s="16" t="s">
        <v>42</v>
      </c>
      <c r="D433" s="16" t="s">
        <v>178</v>
      </c>
      <c r="E433" s="17">
        <v>70</v>
      </c>
      <c r="F433" s="16" t="s">
        <v>70</v>
      </c>
      <c r="G433" s="16" t="str">
        <f t="shared" si="7"/>
        <v>Junio</v>
      </c>
    </row>
    <row r="434" spans="1:7" x14ac:dyDescent="0.25">
      <c r="A434" s="16" t="s">
        <v>9</v>
      </c>
      <c r="B434" s="24">
        <v>46186</v>
      </c>
      <c r="C434" s="16" t="s">
        <v>42</v>
      </c>
      <c r="D434" s="16" t="s">
        <v>178</v>
      </c>
      <c r="E434" s="17">
        <v>5</v>
      </c>
      <c r="F434" s="16" t="s">
        <v>70</v>
      </c>
      <c r="G434" s="16" t="str">
        <f t="shared" si="7"/>
        <v>Junio</v>
      </c>
    </row>
    <row r="435" spans="1:7" x14ac:dyDescent="0.25">
      <c r="A435" s="16" t="s">
        <v>9</v>
      </c>
      <c r="B435" s="24">
        <v>46186</v>
      </c>
      <c r="C435" s="16" t="s">
        <v>42</v>
      </c>
      <c r="D435" s="16" t="s">
        <v>178</v>
      </c>
      <c r="E435" s="17">
        <v>39.9</v>
      </c>
      <c r="F435" s="16" t="s">
        <v>70</v>
      </c>
      <c r="G435" s="16" t="str">
        <f t="shared" si="7"/>
        <v>Junio</v>
      </c>
    </row>
    <row r="436" spans="1:7" x14ac:dyDescent="0.25">
      <c r="A436" s="16" t="s">
        <v>9</v>
      </c>
      <c r="B436" s="24">
        <v>46186</v>
      </c>
      <c r="C436" s="16" t="s">
        <v>33</v>
      </c>
      <c r="D436" s="16" t="s">
        <v>106</v>
      </c>
      <c r="E436" s="17">
        <v>10</v>
      </c>
      <c r="F436" s="16" t="s">
        <v>70</v>
      </c>
      <c r="G436" s="16" t="str">
        <f t="shared" si="7"/>
        <v>Junio</v>
      </c>
    </row>
    <row r="437" spans="1:7" x14ac:dyDescent="0.25">
      <c r="A437" s="16" t="s">
        <v>9</v>
      </c>
      <c r="B437" s="24">
        <v>46186</v>
      </c>
      <c r="C437" s="16" t="s">
        <v>33</v>
      </c>
      <c r="D437" t="s">
        <v>154</v>
      </c>
      <c r="E437" s="17">
        <v>144.91999999999999</v>
      </c>
      <c r="F437" s="16" t="s">
        <v>180</v>
      </c>
      <c r="G437" s="16" t="str">
        <f t="shared" si="7"/>
        <v>Junio</v>
      </c>
    </row>
    <row r="438" spans="1:7" x14ac:dyDescent="0.25">
      <c r="A438" s="16" t="s">
        <v>5</v>
      </c>
      <c r="B438" s="24">
        <v>46186</v>
      </c>
      <c r="C438" s="16" t="s">
        <v>43</v>
      </c>
      <c r="D438" s="16" t="s">
        <v>178</v>
      </c>
      <c r="E438" s="17">
        <v>145</v>
      </c>
      <c r="F438" s="16" t="s">
        <v>70</v>
      </c>
      <c r="G438" s="16" t="str">
        <f t="shared" si="7"/>
        <v>Junio</v>
      </c>
    </row>
    <row r="439" spans="1:7" x14ac:dyDescent="0.25">
      <c r="A439" s="16" t="s">
        <v>9</v>
      </c>
      <c r="B439" s="24">
        <v>46187</v>
      </c>
      <c r="C439" s="16" t="s">
        <v>32</v>
      </c>
      <c r="D439" s="16" t="s">
        <v>98</v>
      </c>
      <c r="E439" s="17">
        <v>14.96</v>
      </c>
      <c r="F439" s="16" t="s">
        <v>70</v>
      </c>
      <c r="G439" s="16" t="str">
        <f t="shared" si="7"/>
        <v>Junio</v>
      </c>
    </row>
    <row r="440" spans="1:7" x14ac:dyDescent="0.25">
      <c r="A440" s="16" t="s">
        <v>9</v>
      </c>
      <c r="B440" s="24">
        <v>46187</v>
      </c>
      <c r="C440" s="16" t="s">
        <v>33</v>
      </c>
      <c r="D440" s="16" t="s">
        <v>109</v>
      </c>
      <c r="E440" s="17">
        <v>12</v>
      </c>
      <c r="F440" s="16" t="s">
        <v>70</v>
      </c>
      <c r="G440" s="16" t="str">
        <f t="shared" si="7"/>
        <v>Junio</v>
      </c>
    </row>
    <row r="441" spans="1:7" x14ac:dyDescent="0.25">
      <c r="A441" s="16" t="s">
        <v>9</v>
      </c>
      <c r="B441" s="24">
        <v>46188</v>
      </c>
      <c r="C441" s="16" t="s">
        <v>32</v>
      </c>
      <c r="D441" s="16" t="s">
        <v>99</v>
      </c>
      <c r="E441" s="17">
        <v>39.9</v>
      </c>
      <c r="F441" s="16" t="s">
        <v>73</v>
      </c>
      <c r="G441" s="16" t="str">
        <f t="shared" si="7"/>
        <v>Junio</v>
      </c>
    </row>
    <row r="442" spans="1:7" x14ac:dyDescent="0.25">
      <c r="A442" s="16" t="s">
        <v>9</v>
      </c>
      <c r="B442" s="24">
        <v>46188</v>
      </c>
      <c r="C442" s="16" t="s">
        <v>32</v>
      </c>
      <c r="D442" s="16" t="s">
        <v>100</v>
      </c>
      <c r="E442" s="17">
        <f>18.99+2.92</f>
        <v>21.909999999999997</v>
      </c>
      <c r="F442" s="16" t="s">
        <v>70</v>
      </c>
      <c r="G442" s="16" t="str">
        <f t="shared" si="7"/>
        <v>Junio</v>
      </c>
    </row>
    <row r="443" spans="1:7" x14ac:dyDescent="0.25">
      <c r="A443" s="16" t="s">
        <v>9</v>
      </c>
      <c r="B443" s="24">
        <v>46188</v>
      </c>
      <c r="C443" s="16" t="s">
        <v>32</v>
      </c>
      <c r="D443" s="16" t="s">
        <v>100</v>
      </c>
      <c r="E443" s="17">
        <v>40</v>
      </c>
      <c r="F443" s="16" t="s">
        <v>70</v>
      </c>
      <c r="G443" s="16" t="str">
        <f t="shared" si="7"/>
        <v>Junio</v>
      </c>
    </row>
    <row r="444" spans="1:7" x14ac:dyDescent="0.25">
      <c r="A444" s="16" t="s">
        <v>9</v>
      </c>
      <c r="B444" s="24">
        <v>46189</v>
      </c>
      <c r="C444" s="16" t="s">
        <v>33</v>
      </c>
      <c r="D444" s="16" t="s">
        <v>106</v>
      </c>
      <c r="E444" s="17">
        <v>7</v>
      </c>
      <c r="F444" s="16" t="s">
        <v>70</v>
      </c>
      <c r="G444" s="16" t="str">
        <f t="shared" si="7"/>
        <v>Junio</v>
      </c>
    </row>
    <row r="445" spans="1:7" x14ac:dyDescent="0.25">
      <c r="A445" s="16" t="s">
        <v>9</v>
      </c>
      <c r="B445" s="24">
        <v>46189</v>
      </c>
      <c r="C445" s="16" t="s">
        <v>33</v>
      </c>
      <c r="D445" s="16" t="s">
        <v>152</v>
      </c>
      <c r="E445" s="17">
        <v>13.5</v>
      </c>
      <c r="F445" s="16" t="s">
        <v>70</v>
      </c>
      <c r="G445" s="16" t="str">
        <f t="shared" si="7"/>
        <v>Junio</v>
      </c>
    </row>
    <row r="446" spans="1:7" x14ac:dyDescent="0.25">
      <c r="A446" s="16" t="s">
        <v>9</v>
      </c>
      <c r="B446" s="24">
        <v>46189</v>
      </c>
      <c r="C446" s="16" t="s">
        <v>33</v>
      </c>
      <c r="D446" s="16" t="s">
        <v>109</v>
      </c>
      <c r="E446" s="17">
        <v>10</v>
      </c>
      <c r="F446" s="16" t="s">
        <v>70</v>
      </c>
      <c r="G446" s="16" t="str">
        <f t="shared" si="7"/>
        <v>Junio</v>
      </c>
    </row>
    <row r="447" spans="1:7" x14ac:dyDescent="0.25">
      <c r="A447" s="16" t="s">
        <v>9</v>
      </c>
      <c r="B447" s="24">
        <v>46190</v>
      </c>
      <c r="C447" s="16" t="s">
        <v>33</v>
      </c>
      <c r="D447" s="16" t="s">
        <v>109</v>
      </c>
      <c r="E447" s="17">
        <f>14.27-1.5</f>
        <v>12.77</v>
      </c>
      <c r="F447" s="16" t="s">
        <v>70</v>
      </c>
      <c r="G447" s="16" t="str">
        <f t="shared" si="7"/>
        <v>Junio</v>
      </c>
    </row>
    <row r="448" spans="1:7" x14ac:dyDescent="0.25">
      <c r="A448" s="16" t="s">
        <v>5</v>
      </c>
      <c r="B448" s="24">
        <v>46192</v>
      </c>
      <c r="C448" s="16" t="s">
        <v>43</v>
      </c>
      <c r="D448" s="16" t="s">
        <v>179</v>
      </c>
      <c r="E448" s="17">
        <v>50</v>
      </c>
      <c r="F448" s="16" t="s">
        <v>70</v>
      </c>
      <c r="G448" s="16" t="str">
        <f t="shared" si="7"/>
        <v>Junio</v>
      </c>
    </row>
    <row r="449" spans="1:7" x14ac:dyDescent="0.25">
      <c r="A449" s="16" t="s">
        <v>9</v>
      </c>
      <c r="B449" s="24">
        <v>46192</v>
      </c>
      <c r="C449" s="16" t="s">
        <v>33</v>
      </c>
      <c r="D449" s="16" t="s">
        <v>227</v>
      </c>
      <c r="E449" s="17">
        <v>3</v>
      </c>
      <c r="F449" s="16" t="s">
        <v>70</v>
      </c>
      <c r="G449" s="16" t="str">
        <f t="shared" si="7"/>
        <v>Junio</v>
      </c>
    </row>
    <row r="450" spans="1:7" x14ac:dyDescent="0.25">
      <c r="A450" s="16" t="s">
        <v>9</v>
      </c>
      <c r="B450" s="24">
        <v>46192</v>
      </c>
      <c r="C450" s="16" t="s">
        <v>33</v>
      </c>
      <c r="D450" s="16" t="s">
        <v>124</v>
      </c>
      <c r="E450" s="17">
        <v>5</v>
      </c>
      <c r="F450" s="16" t="s">
        <v>70</v>
      </c>
      <c r="G450" s="16" t="str">
        <f t="shared" si="7"/>
        <v>Junio</v>
      </c>
    </row>
    <row r="451" spans="1:7" x14ac:dyDescent="0.25">
      <c r="A451" s="16" t="s">
        <v>9</v>
      </c>
      <c r="B451" s="24">
        <v>46193</v>
      </c>
      <c r="C451" s="16" t="s">
        <v>33</v>
      </c>
      <c r="D451" s="16" t="s">
        <v>106</v>
      </c>
      <c r="E451" s="17">
        <v>1.5</v>
      </c>
      <c r="F451" s="16" t="s">
        <v>70</v>
      </c>
      <c r="G451" s="16" t="str">
        <f t="shared" si="7"/>
        <v>Junio</v>
      </c>
    </row>
    <row r="452" spans="1:7" x14ac:dyDescent="0.25">
      <c r="A452" s="16" t="s">
        <v>9</v>
      </c>
      <c r="B452" s="24">
        <v>46193</v>
      </c>
      <c r="C452" s="16" t="s">
        <v>33</v>
      </c>
      <c r="D452" s="16" t="s">
        <v>106</v>
      </c>
      <c r="E452" s="17">
        <v>4.5</v>
      </c>
      <c r="F452" s="16" t="s">
        <v>70</v>
      </c>
      <c r="G452" s="16" t="str">
        <f t="shared" si="7"/>
        <v>Junio</v>
      </c>
    </row>
    <row r="453" spans="1:7" x14ac:dyDescent="0.25">
      <c r="A453" s="16" t="s">
        <v>9</v>
      </c>
      <c r="B453" s="24">
        <v>46193</v>
      </c>
      <c r="C453" s="16" t="s">
        <v>33</v>
      </c>
      <c r="D453" s="16" t="s">
        <v>186</v>
      </c>
      <c r="E453" s="17">
        <v>12</v>
      </c>
      <c r="F453" s="16" t="s">
        <v>70</v>
      </c>
      <c r="G453" s="16" t="str">
        <f t="shared" si="7"/>
        <v>Junio</v>
      </c>
    </row>
    <row r="454" spans="1:7" x14ac:dyDescent="0.25">
      <c r="A454" s="16" t="s">
        <v>9</v>
      </c>
      <c r="B454" s="24">
        <v>46193</v>
      </c>
      <c r="C454" s="16" t="s">
        <v>33</v>
      </c>
      <c r="D454" t="s">
        <v>97</v>
      </c>
      <c r="E454" s="17">
        <v>22</v>
      </c>
      <c r="F454" s="16" t="s">
        <v>70</v>
      </c>
      <c r="G454" s="16" t="str">
        <f t="shared" si="7"/>
        <v>Junio</v>
      </c>
    </row>
    <row r="455" spans="1:7" x14ac:dyDescent="0.25">
      <c r="A455" s="16" t="s">
        <v>9</v>
      </c>
      <c r="B455" s="24">
        <v>46193</v>
      </c>
      <c r="C455" s="16" t="s">
        <v>33</v>
      </c>
      <c r="D455" s="16" t="s">
        <v>110</v>
      </c>
      <c r="E455" s="17">
        <v>3.99</v>
      </c>
      <c r="F455" s="16" t="s">
        <v>73</v>
      </c>
      <c r="G455" s="16" t="str">
        <f t="shared" si="7"/>
        <v>Junio</v>
      </c>
    </row>
    <row r="456" spans="1:7" x14ac:dyDescent="0.25">
      <c r="A456" s="16" t="s">
        <v>9</v>
      </c>
      <c r="B456" s="24">
        <v>46193</v>
      </c>
      <c r="C456" s="16" t="s">
        <v>33</v>
      </c>
      <c r="D456" s="16" t="s">
        <v>124</v>
      </c>
      <c r="E456" s="17">
        <v>23</v>
      </c>
      <c r="F456" s="16" t="s">
        <v>70</v>
      </c>
      <c r="G456" s="16" t="str">
        <f t="shared" si="7"/>
        <v>Junio</v>
      </c>
    </row>
    <row r="457" spans="1:7" x14ac:dyDescent="0.25">
      <c r="A457" s="16" t="s">
        <v>9</v>
      </c>
      <c r="B457" s="24">
        <v>46194</v>
      </c>
      <c r="C457" s="16" t="s">
        <v>33</v>
      </c>
      <c r="D457" s="16" t="s">
        <v>115</v>
      </c>
      <c r="E457" s="17">
        <v>21.23</v>
      </c>
      <c r="F457" s="16" t="s">
        <v>73</v>
      </c>
      <c r="G457" s="16" t="str">
        <f t="shared" si="7"/>
        <v>Junio</v>
      </c>
    </row>
    <row r="458" spans="1:7" x14ac:dyDescent="0.25">
      <c r="A458" s="16" t="s">
        <v>9</v>
      </c>
      <c r="B458" s="24">
        <v>46194</v>
      </c>
      <c r="C458" s="16" t="s">
        <v>33</v>
      </c>
      <c r="D458" s="16" t="s">
        <v>112</v>
      </c>
      <c r="E458" s="17">
        <v>18.899999999999999</v>
      </c>
      <c r="F458" s="16" t="s">
        <v>73</v>
      </c>
      <c r="G458" s="16" t="str">
        <f t="shared" si="7"/>
        <v>Junio</v>
      </c>
    </row>
    <row r="459" spans="1:7" x14ac:dyDescent="0.25">
      <c r="A459" s="16" t="s">
        <v>9</v>
      </c>
      <c r="B459" s="24">
        <v>46194</v>
      </c>
      <c r="C459" s="16" t="s">
        <v>33</v>
      </c>
      <c r="D459" s="16" t="s">
        <v>112</v>
      </c>
      <c r="E459" s="17">
        <v>35.200000000000003</v>
      </c>
      <c r="F459" s="16" t="s">
        <v>70</v>
      </c>
      <c r="G459" s="16" t="str">
        <f t="shared" si="7"/>
        <v>Junio</v>
      </c>
    </row>
    <row r="460" spans="1:7" x14ac:dyDescent="0.25">
      <c r="A460" s="16" t="s">
        <v>9</v>
      </c>
      <c r="B460" s="24">
        <v>46195</v>
      </c>
      <c r="C460" s="16" t="s">
        <v>42</v>
      </c>
      <c r="D460" s="16" t="s">
        <v>178</v>
      </c>
      <c r="E460" s="17">
        <v>55</v>
      </c>
      <c r="F460" s="16" t="s">
        <v>73</v>
      </c>
      <c r="G460" s="16" t="str">
        <f t="shared" si="7"/>
        <v>Junio</v>
      </c>
    </row>
    <row r="461" spans="1:7" x14ac:dyDescent="0.25">
      <c r="A461" s="16" t="s">
        <v>9</v>
      </c>
      <c r="B461" s="24">
        <v>46195</v>
      </c>
      <c r="C461" s="16" t="s">
        <v>33</v>
      </c>
      <c r="D461" s="16" t="s">
        <v>128</v>
      </c>
      <c r="E461" s="17">
        <v>12</v>
      </c>
      <c r="F461" s="16" t="s">
        <v>73</v>
      </c>
      <c r="G461" s="16" t="str">
        <f t="shared" si="7"/>
        <v>Junio</v>
      </c>
    </row>
    <row r="462" spans="1:7" x14ac:dyDescent="0.25">
      <c r="A462" s="16" t="s">
        <v>9</v>
      </c>
      <c r="B462" s="24">
        <v>46195</v>
      </c>
      <c r="C462" s="16" t="s">
        <v>33</v>
      </c>
      <c r="D462" s="16" t="s">
        <v>225</v>
      </c>
      <c r="E462" s="17">
        <v>5</v>
      </c>
      <c r="F462" s="16" t="s">
        <v>73</v>
      </c>
      <c r="G462" s="16" t="str">
        <f t="shared" si="7"/>
        <v>Junio</v>
      </c>
    </row>
    <row r="463" spans="1:7" x14ac:dyDescent="0.25">
      <c r="A463" s="16" t="s">
        <v>9</v>
      </c>
      <c r="B463" s="24">
        <v>46195</v>
      </c>
      <c r="C463" s="16" t="s">
        <v>33</v>
      </c>
      <c r="D463" s="16" t="s">
        <v>106</v>
      </c>
      <c r="E463" s="17">
        <v>13</v>
      </c>
      <c r="F463" s="16" t="s">
        <v>70</v>
      </c>
      <c r="G463" s="16" t="str">
        <f t="shared" si="7"/>
        <v>Junio</v>
      </c>
    </row>
    <row r="464" spans="1:7" x14ac:dyDescent="0.25">
      <c r="A464" s="16" t="s">
        <v>9</v>
      </c>
      <c r="B464" s="24">
        <v>46195</v>
      </c>
      <c r="C464" s="16" t="s">
        <v>33</v>
      </c>
      <c r="D464" s="16" t="s">
        <v>129</v>
      </c>
      <c r="E464" s="17">
        <v>22.9</v>
      </c>
      <c r="F464" s="16" t="s">
        <v>180</v>
      </c>
      <c r="G464" s="16" t="str">
        <f t="shared" si="7"/>
        <v>Junio</v>
      </c>
    </row>
    <row r="465" spans="1:19" x14ac:dyDescent="0.25">
      <c r="A465" s="16" t="s">
        <v>9</v>
      </c>
      <c r="B465" s="24">
        <v>46196</v>
      </c>
      <c r="C465" s="16" t="s">
        <v>33</v>
      </c>
      <c r="D465" s="16" t="s">
        <v>112</v>
      </c>
      <c r="E465" s="17">
        <v>96</v>
      </c>
      <c r="F465" s="16" t="s">
        <v>180</v>
      </c>
      <c r="G465" s="16" t="str">
        <f t="shared" si="7"/>
        <v>Junio</v>
      </c>
    </row>
    <row r="466" spans="1:19" x14ac:dyDescent="0.25">
      <c r="A466" s="16" t="s">
        <v>9</v>
      </c>
      <c r="B466" s="24">
        <v>46196</v>
      </c>
      <c r="C466" s="16" t="s">
        <v>42</v>
      </c>
      <c r="D466" s="16" t="s">
        <v>178</v>
      </c>
      <c r="E466" s="17">
        <v>40</v>
      </c>
      <c r="F466" s="16" t="s">
        <v>180</v>
      </c>
      <c r="G466" s="16" t="str">
        <f t="shared" si="7"/>
        <v>Junio</v>
      </c>
    </row>
    <row r="467" spans="1:19" x14ac:dyDescent="0.25">
      <c r="A467" s="16" t="s">
        <v>5</v>
      </c>
      <c r="B467" s="24">
        <v>46204</v>
      </c>
      <c r="C467" s="16" t="s">
        <v>43</v>
      </c>
      <c r="D467" s="16" t="s">
        <v>92</v>
      </c>
      <c r="E467" s="17">
        <f>668.92+1.9+24.5-0.58-226+6+0.2</f>
        <v>474.93999999999988</v>
      </c>
      <c r="F467" s="16" t="s">
        <v>70</v>
      </c>
      <c r="G467" s="16" t="str">
        <f t="shared" ref="G467:G498" si="8">TEXT(B467,"MMMM")</f>
        <v>Julio</v>
      </c>
    </row>
    <row r="468" spans="1:19" x14ac:dyDescent="0.25">
      <c r="A468" s="16" t="s">
        <v>5</v>
      </c>
      <c r="B468" s="24">
        <v>46204</v>
      </c>
      <c r="C468" s="16" t="s">
        <v>6</v>
      </c>
      <c r="D468" s="16" t="s">
        <v>6</v>
      </c>
      <c r="E468" s="17">
        <v>2259.63</v>
      </c>
      <c r="F468" s="16" t="s">
        <v>70</v>
      </c>
      <c r="G468" s="16" t="str">
        <f t="shared" si="8"/>
        <v>Julio</v>
      </c>
    </row>
    <row r="469" spans="1:19" x14ac:dyDescent="0.25">
      <c r="A469" s="16" t="s">
        <v>5</v>
      </c>
      <c r="B469" s="24">
        <v>46204</v>
      </c>
      <c r="C469" s="16" t="s">
        <v>103</v>
      </c>
      <c r="D469" s="16" t="s">
        <v>104</v>
      </c>
      <c r="E469" s="17">
        <v>883.88</v>
      </c>
      <c r="F469" s="16" t="s">
        <v>73</v>
      </c>
      <c r="G469" s="16" t="str">
        <f t="shared" si="8"/>
        <v>Julio</v>
      </c>
    </row>
    <row r="470" spans="1:19" x14ac:dyDescent="0.25">
      <c r="A470" s="16" t="s">
        <v>9</v>
      </c>
      <c r="B470" s="24">
        <v>46204</v>
      </c>
      <c r="C470" s="16" t="s">
        <v>32</v>
      </c>
      <c r="D470" s="16" t="s">
        <v>158</v>
      </c>
      <c r="E470" s="17">
        <v>878</v>
      </c>
      <c r="F470" s="16" t="s">
        <v>70</v>
      </c>
      <c r="G470" s="16" t="str">
        <f t="shared" si="8"/>
        <v>Julio</v>
      </c>
    </row>
    <row r="471" spans="1:19" x14ac:dyDescent="0.25">
      <c r="A471" s="16" t="s">
        <v>5</v>
      </c>
      <c r="B471" s="24">
        <v>46204</v>
      </c>
      <c r="C471" s="16" t="s">
        <v>103</v>
      </c>
      <c r="D471" s="16" t="s">
        <v>104</v>
      </c>
      <c r="E471" s="17">
        <v>227.18</v>
      </c>
      <c r="F471" s="16" t="s">
        <v>180</v>
      </c>
      <c r="G471" s="16" t="str">
        <f t="shared" si="8"/>
        <v>Julio</v>
      </c>
    </row>
    <row r="472" spans="1:19" x14ac:dyDescent="0.25">
      <c r="A472" s="16" t="s">
        <v>9</v>
      </c>
      <c r="B472" s="24">
        <v>46204</v>
      </c>
      <c r="C472" s="16" t="s">
        <v>42</v>
      </c>
      <c r="D472" s="16" t="s">
        <v>176</v>
      </c>
      <c r="E472" s="17">
        <v>380</v>
      </c>
      <c r="F472" s="16" t="s">
        <v>70</v>
      </c>
      <c r="G472" s="16" t="str">
        <f t="shared" si="8"/>
        <v>Julio</v>
      </c>
    </row>
    <row r="473" spans="1:19" x14ac:dyDescent="0.25">
      <c r="A473" s="16" t="s">
        <v>9</v>
      </c>
      <c r="B473" s="24">
        <v>46204</v>
      </c>
      <c r="C473" s="16" t="s">
        <v>32</v>
      </c>
      <c r="D473" s="16" t="s">
        <v>93</v>
      </c>
      <c r="E473" s="17">
        <v>79</v>
      </c>
      <c r="F473" s="16" t="s">
        <v>73</v>
      </c>
      <c r="G473" s="16" t="str">
        <f t="shared" si="8"/>
        <v>Julio</v>
      </c>
    </row>
    <row r="474" spans="1:19" x14ac:dyDescent="0.25">
      <c r="A474" s="16" t="s">
        <v>9</v>
      </c>
      <c r="B474" s="24">
        <v>46204</v>
      </c>
      <c r="C474" s="16" t="s">
        <v>32</v>
      </c>
      <c r="D474" s="16" t="s">
        <v>94</v>
      </c>
      <c r="E474" s="17">
        <v>94</v>
      </c>
      <c r="F474" s="16" t="s">
        <v>73</v>
      </c>
      <c r="G474" s="16" t="str">
        <f t="shared" si="8"/>
        <v>Julio</v>
      </c>
    </row>
    <row r="475" spans="1:19" x14ac:dyDescent="0.25">
      <c r="A475" s="16" t="s">
        <v>9</v>
      </c>
      <c r="B475" s="24">
        <v>46204</v>
      </c>
      <c r="C475" s="16" t="s">
        <v>32</v>
      </c>
      <c r="D475" s="16" t="s">
        <v>95</v>
      </c>
      <c r="E475" s="17">
        <v>48.5</v>
      </c>
      <c r="F475" s="16" t="s">
        <v>73</v>
      </c>
      <c r="G475" s="16" t="str">
        <f t="shared" si="8"/>
        <v>Julio</v>
      </c>
    </row>
    <row r="476" spans="1:19" x14ac:dyDescent="0.25">
      <c r="A476" s="16" t="s">
        <v>9</v>
      </c>
      <c r="B476" s="24">
        <v>46204</v>
      </c>
      <c r="C476" s="16" t="s">
        <v>63</v>
      </c>
      <c r="D476" s="16" t="s">
        <v>185</v>
      </c>
      <c r="E476" s="17">
        <v>116.85</v>
      </c>
      <c r="F476" s="16" t="s">
        <v>70</v>
      </c>
      <c r="G476" s="16" t="str">
        <f t="shared" si="8"/>
        <v>Julio</v>
      </c>
    </row>
    <row r="477" spans="1:19" x14ac:dyDescent="0.25">
      <c r="A477" s="16" t="s">
        <v>9</v>
      </c>
      <c r="B477" s="24">
        <v>46204</v>
      </c>
      <c r="C477" s="16" t="s">
        <v>32</v>
      </c>
      <c r="D477" s="16" t="s">
        <v>96</v>
      </c>
      <c r="E477" s="17">
        <v>160</v>
      </c>
      <c r="F477" s="16" t="s">
        <v>70</v>
      </c>
      <c r="G477" s="16" t="str">
        <f t="shared" si="8"/>
        <v>Julio</v>
      </c>
    </row>
    <row r="478" spans="1:19" x14ac:dyDescent="0.25">
      <c r="A478" s="16" t="s">
        <v>9</v>
      </c>
      <c r="B478" s="24">
        <v>46204</v>
      </c>
      <c r="C478" s="16" t="s">
        <v>63</v>
      </c>
      <c r="D478" s="16" t="s">
        <v>159</v>
      </c>
      <c r="E478" s="17">
        <v>245.75</v>
      </c>
      <c r="F478" s="16" t="s">
        <v>70</v>
      </c>
      <c r="G478" s="16" t="str">
        <f t="shared" si="8"/>
        <v>Julio</v>
      </c>
    </row>
    <row r="479" spans="1:19" x14ac:dyDescent="0.25">
      <c r="A479" s="16" t="s">
        <v>9</v>
      </c>
      <c r="B479" s="24">
        <v>46204</v>
      </c>
      <c r="C479" s="16" t="s">
        <v>33</v>
      </c>
      <c r="D479" s="16" t="s">
        <v>109</v>
      </c>
      <c r="E479" s="17">
        <v>12</v>
      </c>
      <c r="F479" s="16" t="s">
        <v>70</v>
      </c>
      <c r="G479" s="16" t="str">
        <f t="shared" si="8"/>
        <v>Julio</v>
      </c>
      <c r="S479" s="59"/>
    </row>
    <row r="480" spans="1:19" x14ac:dyDescent="0.25">
      <c r="A480" s="16" t="s">
        <v>9</v>
      </c>
      <c r="B480" s="24">
        <v>46204</v>
      </c>
      <c r="C480" s="16" t="s">
        <v>33</v>
      </c>
      <c r="D480" s="16" t="s">
        <v>106</v>
      </c>
      <c r="E480" s="17">
        <v>4</v>
      </c>
      <c r="F480" s="16" t="s">
        <v>70</v>
      </c>
      <c r="G480" s="16" t="str">
        <f t="shared" si="8"/>
        <v>Julio</v>
      </c>
    </row>
    <row r="481" spans="1:9" x14ac:dyDescent="0.25">
      <c r="A481" s="16" t="s">
        <v>9</v>
      </c>
      <c r="B481" s="24">
        <v>46204</v>
      </c>
      <c r="C481" s="16" t="s">
        <v>42</v>
      </c>
      <c r="D481" s="16" t="s">
        <v>178</v>
      </c>
      <c r="E481" s="17">
        <v>47</v>
      </c>
      <c r="F481" s="16" t="s">
        <v>73</v>
      </c>
      <c r="G481" s="16" t="str">
        <f t="shared" si="8"/>
        <v>Julio</v>
      </c>
    </row>
    <row r="482" spans="1:9" x14ac:dyDescent="0.25">
      <c r="A482" s="16" t="s">
        <v>9</v>
      </c>
      <c r="B482" s="24">
        <v>46204</v>
      </c>
      <c r="C482" s="16" t="s">
        <v>42</v>
      </c>
      <c r="D482" s="16" t="s">
        <v>178</v>
      </c>
      <c r="E482" s="17">
        <v>58.5</v>
      </c>
      <c r="F482" s="16" t="s">
        <v>73</v>
      </c>
      <c r="G482" s="16" t="str">
        <f t="shared" si="8"/>
        <v>Julio</v>
      </c>
    </row>
    <row r="483" spans="1:9" x14ac:dyDescent="0.25">
      <c r="A483" s="16" t="s">
        <v>9</v>
      </c>
      <c r="B483" s="24">
        <v>46204</v>
      </c>
      <c r="C483" s="16" t="s">
        <v>42</v>
      </c>
      <c r="D483" s="16" t="s">
        <v>178</v>
      </c>
      <c r="E483" s="17">
        <v>50</v>
      </c>
      <c r="F483" s="16" t="s">
        <v>73</v>
      </c>
      <c r="G483" s="16" t="str">
        <f t="shared" si="8"/>
        <v>Julio</v>
      </c>
    </row>
    <row r="484" spans="1:9" x14ac:dyDescent="0.25">
      <c r="A484" s="16" t="s">
        <v>9</v>
      </c>
      <c r="B484" s="24">
        <v>46204</v>
      </c>
      <c r="C484" s="16" t="s">
        <v>33</v>
      </c>
      <c r="D484" s="16" t="s">
        <v>106</v>
      </c>
      <c r="E484" s="17">
        <v>8</v>
      </c>
      <c r="F484" s="16" t="s">
        <v>70</v>
      </c>
      <c r="G484" s="16" t="str">
        <f t="shared" si="8"/>
        <v>Julio</v>
      </c>
    </row>
    <row r="485" spans="1:9" x14ac:dyDescent="0.25">
      <c r="A485" s="16" t="s">
        <v>9</v>
      </c>
      <c r="B485" s="24">
        <v>46204</v>
      </c>
      <c r="C485" s="16" t="s">
        <v>33</v>
      </c>
      <c r="D485" s="16" t="s">
        <v>109</v>
      </c>
      <c r="E485" s="17">
        <v>10</v>
      </c>
      <c r="F485" s="16" t="s">
        <v>70</v>
      </c>
      <c r="G485" s="16" t="str">
        <f t="shared" si="8"/>
        <v>Julio</v>
      </c>
      <c r="I485" s="80"/>
    </row>
    <row r="486" spans="1:9" x14ac:dyDescent="0.25">
      <c r="A486" s="16" t="s">
        <v>9</v>
      </c>
      <c r="B486" s="24">
        <v>46204</v>
      </c>
      <c r="C486" s="16" t="s">
        <v>33</v>
      </c>
      <c r="D486" s="16" t="s">
        <v>129</v>
      </c>
      <c r="E486" s="17">
        <v>15.6</v>
      </c>
      <c r="F486" s="16" t="s">
        <v>73</v>
      </c>
      <c r="G486" s="16" t="str">
        <f t="shared" si="8"/>
        <v>Julio</v>
      </c>
    </row>
    <row r="487" spans="1:9" x14ac:dyDescent="0.25">
      <c r="A487" s="16" t="s">
        <v>9</v>
      </c>
      <c r="B487" s="24">
        <v>46204</v>
      </c>
      <c r="C487" s="16" t="s">
        <v>33</v>
      </c>
      <c r="D487" s="16" t="s">
        <v>109</v>
      </c>
      <c r="E487" s="17">
        <v>12</v>
      </c>
      <c r="F487" s="16" t="s">
        <v>70</v>
      </c>
      <c r="G487" s="16" t="str">
        <f t="shared" si="8"/>
        <v>Julio</v>
      </c>
    </row>
    <row r="488" spans="1:9" x14ac:dyDescent="0.25">
      <c r="A488" s="16" t="s">
        <v>9</v>
      </c>
      <c r="B488" s="24">
        <v>46204</v>
      </c>
      <c r="C488" s="16" t="s">
        <v>33</v>
      </c>
      <c r="D488" s="16" t="s">
        <v>106</v>
      </c>
      <c r="E488" s="17">
        <v>6</v>
      </c>
      <c r="F488" s="16" t="s">
        <v>70</v>
      </c>
      <c r="G488" s="16" t="str">
        <f t="shared" si="8"/>
        <v>Julio</v>
      </c>
    </row>
    <row r="489" spans="1:9" x14ac:dyDescent="0.25">
      <c r="A489" s="16" t="s">
        <v>9</v>
      </c>
      <c r="B489" s="24">
        <v>46204</v>
      </c>
      <c r="C489" s="16" t="s">
        <v>33</v>
      </c>
      <c r="D489" s="16" t="s">
        <v>152</v>
      </c>
      <c r="E489" s="17">
        <v>18</v>
      </c>
      <c r="F489" s="16" t="s">
        <v>73</v>
      </c>
      <c r="G489" s="16" t="str">
        <f t="shared" si="8"/>
        <v>Julio</v>
      </c>
    </row>
    <row r="490" spans="1:9" x14ac:dyDescent="0.25">
      <c r="A490" s="16" t="s">
        <v>9</v>
      </c>
      <c r="B490" s="24">
        <v>46204</v>
      </c>
      <c r="C490" s="16" t="s">
        <v>42</v>
      </c>
      <c r="D490" s="16" t="s">
        <v>178</v>
      </c>
      <c r="E490" s="17">
        <v>30</v>
      </c>
      <c r="F490" s="16" t="s">
        <v>70</v>
      </c>
      <c r="G490" s="16" t="str">
        <f t="shared" si="8"/>
        <v>Julio</v>
      </c>
    </row>
    <row r="491" spans="1:9" x14ac:dyDescent="0.25">
      <c r="A491" s="16" t="s">
        <v>9</v>
      </c>
      <c r="B491" s="24">
        <v>46204</v>
      </c>
      <c r="C491" s="16" t="s">
        <v>42</v>
      </c>
      <c r="D491" s="16" t="s">
        <v>178</v>
      </c>
      <c r="E491" s="17">
        <v>60</v>
      </c>
      <c r="F491" s="16" t="s">
        <v>73</v>
      </c>
      <c r="G491" s="16" t="str">
        <f t="shared" si="8"/>
        <v>Julio</v>
      </c>
    </row>
    <row r="492" spans="1:9" x14ac:dyDescent="0.25">
      <c r="A492" s="16" t="s">
        <v>9</v>
      </c>
      <c r="B492" s="24">
        <v>46204</v>
      </c>
      <c r="C492" s="16" t="s">
        <v>32</v>
      </c>
      <c r="D492" s="16" t="s">
        <v>76</v>
      </c>
      <c r="E492" s="17">
        <v>11.9</v>
      </c>
      <c r="F492" s="16" t="s">
        <v>73</v>
      </c>
      <c r="G492" s="16" t="str">
        <f t="shared" si="8"/>
        <v>Julio</v>
      </c>
    </row>
    <row r="493" spans="1:9" x14ac:dyDescent="0.25">
      <c r="A493" s="16" t="s">
        <v>9</v>
      </c>
      <c r="B493" s="24">
        <v>46204</v>
      </c>
      <c r="C493" s="16" t="s">
        <v>33</v>
      </c>
      <c r="D493" s="16" t="s">
        <v>106</v>
      </c>
      <c r="E493" s="17">
        <v>8</v>
      </c>
      <c r="F493" s="16" t="s">
        <v>70</v>
      </c>
      <c r="G493" s="16" t="str">
        <f t="shared" si="8"/>
        <v>Julio</v>
      </c>
    </row>
    <row r="494" spans="1:9" x14ac:dyDescent="0.25">
      <c r="A494" s="16" t="s">
        <v>9</v>
      </c>
      <c r="B494" s="24">
        <v>46204</v>
      </c>
      <c r="C494" s="16" t="s">
        <v>42</v>
      </c>
      <c r="D494" s="16" t="s">
        <v>178</v>
      </c>
      <c r="E494" s="17">
        <v>39</v>
      </c>
      <c r="F494" s="16" t="s">
        <v>180</v>
      </c>
      <c r="G494" s="16" t="str">
        <f t="shared" si="8"/>
        <v>Julio</v>
      </c>
    </row>
    <row r="495" spans="1:9" x14ac:dyDescent="0.25">
      <c r="A495" s="16" t="s">
        <v>5</v>
      </c>
      <c r="B495" s="24">
        <v>46205</v>
      </c>
      <c r="C495" s="16" t="s">
        <v>103</v>
      </c>
      <c r="D495" s="16" t="s">
        <v>104</v>
      </c>
      <c r="E495" s="17">
        <v>700</v>
      </c>
      <c r="F495" s="16" t="s">
        <v>105</v>
      </c>
      <c r="G495" s="16" t="str">
        <f t="shared" si="8"/>
        <v>Julio</v>
      </c>
    </row>
    <row r="496" spans="1:9" x14ac:dyDescent="0.25">
      <c r="A496" s="16" t="s">
        <v>9</v>
      </c>
      <c r="B496" s="24">
        <v>46205</v>
      </c>
      <c r="C496" s="16" t="s">
        <v>33</v>
      </c>
      <c r="D496" s="16" t="s">
        <v>179</v>
      </c>
      <c r="E496" s="17">
        <v>30</v>
      </c>
      <c r="F496" s="16" t="s">
        <v>70</v>
      </c>
      <c r="G496" s="16" t="str">
        <f t="shared" si="8"/>
        <v>Julio</v>
      </c>
    </row>
    <row r="497" spans="1:7" x14ac:dyDescent="0.25">
      <c r="A497" s="16" t="s">
        <v>9</v>
      </c>
      <c r="B497" s="24">
        <v>46206</v>
      </c>
      <c r="C497" s="16" t="s">
        <v>42</v>
      </c>
      <c r="D497" s="16" t="s">
        <v>188</v>
      </c>
      <c r="E497" s="17">
        <v>178.99</v>
      </c>
      <c r="F497" s="16" t="s">
        <v>105</v>
      </c>
      <c r="G497" s="16" t="str">
        <f t="shared" si="8"/>
        <v>Julio</v>
      </c>
    </row>
    <row r="498" spans="1:7" x14ac:dyDescent="0.25">
      <c r="A498" s="16" t="s">
        <v>9</v>
      </c>
      <c r="B498" s="24">
        <v>46207</v>
      </c>
      <c r="C498" s="16" t="s">
        <v>33</v>
      </c>
      <c r="D498" s="16" t="s">
        <v>106</v>
      </c>
      <c r="E498" s="17">
        <v>15.5</v>
      </c>
      <c r="F498" s="16" t="s">
        <v>70</v>
      </c>
      <c r="G498" s="16" t="str">
        <f t="shared" si="8"/>
        <v>Julio</v>
      </c>
    </row>
    <row r="499" spans="1:7" x14ac:dyDescent="0.25">
      <c r="A499" s="16" t="s">
        <v>9</v>
      </c>
      <c r="B499" s="24">
        <v>46207</v>
      </c>
      <c r="C499" s="85" t="s">
        <v>32</v>
      </c>
      <c r="D499" s="16" t="s">
        <v>117</v>
      </c>
      <c r="E499" s="17">
        <v>15.9</v>
      </c>
      <c r="F499" s="16" t="s">
        <v>180</v>
      </c>
      <c r="G499" s="16" t="str">
        <f t="shared" ref="G499:G530" si="9">TEXT(B499,"MMMM")</f>
        <v>Julio</v>
      </c>
    </row>
    <row r="500" spans="1:7" x14ac:dyDescent="0.25">
      <c r="A500" s="16" t="s">
        <v>9</v>
      </c>
      <c r="B500" s="24">
        <v>46207</v>
      </c>
      <c r="C500" s="16" t="s">
        <v>42</v>
      </c>
      <c r="D500" s="16" t="s">
        <v>178</v>
      </c>
      <c r="E500" s="17">
        <v>45.9</v>
      </c>
      <c r="F500" s="16" t="s">
        <v>180</v>
      </c>
      <c r="G500" s="16" t="str">
        <f t="shared" si="9"/>
        <v>Julio</v>
      </c>
    </row>
    <row r="501" spans="1:7" x14ac:dyDescent="0.25">
      <c r="A501" s="16" t="s">
        <v>9</v>
      </c>
      <c r="B501" s="24">
        <v>46207</v>
      </c>
      <c r="C501" s="16" t="s">
        <v>42</v>
      </c>
      <c r="D501" s="16" t="s">
        <v>178</v>
      </c>
      <c r="E501" s="17">
        <v>65</v>
      </c>
      <c r="F501" s="16" t="s">
        <v>180</v>
      </c>
      <c r="G501" s="16" t="str">
        <f t="shared" si="9"/>
        <v>Julio</v>
      </c>
    </row>
    <row r="502" spans="1:7" x14ac:dyDescent="0.25">
      <c r="A502" s="16" t="s">
        <v>9</v>
      </c>
      <c r="B502" s="24">
        <v>46207</v>
      </c>
      <c r="C502" s="16" t="s">
        <v>42</v>
      </c>
      <c r="D502" s="16" t="s">
        <v>178</v>
      </c>
      <c r="E502" s="17">
        <v>34</v>
      </c>
      <c r="F502" s="16" t="s">
        <v>180</v>
      </c>
      <c r="G502" s="16" t="str">
        <f t="shared" si="9"/>
        <v>Julio</v>
      </c>
    </row>
    <row r="503" spans="1:7" x14ac:dyDescent="0.25">
      <c r="A503" s="16" t="s">
        <v>9</v>
      </c>
      <c r="B503" s="24">
        <v>46207</v>
      </c>
      <c r="C503" s="16" t="s">
        <v>33</v>
      </c>
      <c r="D503" s="16" t="s">
        <v>128</v>
      </c>
      <c r="E503" s="17">
        <v>20</v>
      </c>
      <c r="F503" s="16" t="s">
        <v>180</v>
      </c>
      <c r="G503" s="16" t="str">
        <f t="shared" si="9"/>
        <v>Julio</v>
      </c>
    </row>
    <row r="504" spans="1:7" x14ac:dyDescent="0.25">
      <c r="A504" s="16" t="s">
        <v>9</v>
      </c>
      <c r="B504" s="24">
        <v>46209</v>
      </c>
      <c r="C504" s="16" t="s">
        <v>42</v>
      </c>
      <c r="D504" s="16" t="s">
        <v>116</v>
      </c>
      <c r="E504" s="17">
        <v>6</v>
      </c>
      <c r="F504" s="16" t="s">
        <v>70</v>
      </c>
      <c r="G504" s="16" t="str">
        <f t="shared" si="9"/>
        <v>Julio</v>
      </c>
    </row>
    <row r="505" spans="1:7" x14ac:dyDescent="0.25">
      <c r="A505" s="16" t="s">
        <v>9</v>
      </c>
      <c r="B505" s="24">
        <v>46209</v>
      </c>
      <c r="C505" s="16" t="s">
        <v>42</v>
      </c>
      <c r="D505" s="16" t="s">
        <v>178</v>
      </c>
      <c r="E505" s="17">
        <v>23</v>
      </c>
      <c r="F505" s="16" t="s">
        <v>70</v>
      </c>
      <c r="G505" s="16" t="str">
        <f t="shared" si="9"/>
        <v>Julio</v>
      </c>
    </row>
    <row r="506" spans="1:7" x14ac:dyDescent="0.25">
      <c r="A506" s="16" t="s">
        <v>9</v>
      </c>
      <c r="B506" s="24">
        <v>46209</v>
      </c>
      <c r="C506" s="16" t="s">
        <v>33</v>
      </c>
      <c r="D506" s="16" t="s">
        <v>106</v>
      </c>
      <c r="E506" s="17">
        <v>11</v>
      </c>
      <c r="F506" s="16" t="s">
        <v>70</v>
      </c>
      <c r="G506" s="16" t="str">
        <f t="shared" si="9"/>
        <v>Julio</v>
      </c>
    </row>
    <row r="507" spans="1:7" x14ac:dyDescent="0.25">
      <c r="A507" s="16" t="s">
        <v>9</v>
      </c>
      <c r="B507" s="24">
        <v>46209</v>
      </c>
      <c r="C507" s="16" t="s">
        <v>33</v>
      </c>
      <c r="D507" s="16" t="s">
        <v>179</v>
      </c>
      <c r="E507" s="17">
        <v>30</v>
      </c>
      <c r="F507" s="16" t="s">
        <v>70</v>
      </c>
      <c r="G507" s="16" t="str">
        <f t="shared" si="9"/>
        <v>Julio</v>
      </c>
    </row>
    <row r="508" spans="1:7" x14ac:dyDescent="0.25">
      <c r="A508" s="16" t="s">
        <v>9</v>
      </c>
      <c r="B508" s="24">
        <v>46209</v>
      </c>
      <c r="C508" s="16" t="s">
        <v>42</v>
      </c>
      <c r="D508" s="16" t="s">
        <v>87</v>
      </c>
      <c r="E508" s="17">
        <v>10</v>
      </c>
      <c r="F508" s="16" t="s">
        <v>70</v>
      </c>
      <c r="G508" s="16" t="str">
        <f t="shared" si="9"/>
        <v>Julio</v>
      </c>
    </row>
    <row r="509" spans="1:7" x14ac:dyDescent="0.25">
      <c r="A509" s="16" t="s">
        <v>9</v>
      </c>
      <c r="B509" s="24">
        <v>46210</v>
      </c>
      <c r="C509" s="16" t="s">
        <v>33</v>
      </c>
      <c r="D509" s="16" t="s">
        <v>129</v>
      </c>
      <c r="E509" s="17">
        <v>1.3</v>
      </c>
      <c r="F509" s="16" t="s">
        <v>70</v>
      </c>
      <c r="G509" s="16" t="str">
        <f t="shared" si="9"/>
        <v>Julio</v>
      </c>
    </row>
    <row r="510" spans="1:7" x14ac:dyDescent="0.25">
      <c r="A510" s="16" t="s">
        <v>9</v>
      </c>
      <c r="B510" s="24">
        <v>46210</v>
      </c>
      <c r="C510" s="16" t="s">
        <v>33</v>
      </c>
      <c r="D510" s="16" t="s">
        <v>106</v>
      </c>
      <c r="E510" s="17">
        <v>2.5</v>
      </c>
      <c r="F510" s="16" t="s">
        <v>70</v>
      </c>
      <c r="G510" s="16" t="str">
        <f t="shared" si="9"/>
        <v>Julio</v>
      </c>
    </row>
    <row r="511" spans="1:7" x14ac:dyDescent="0.25">
      <c r="A511" s="16" t="s">
        <v>9</v>
      </c>
      <c r="B511" s="24">
        <v>46211</v>
      </c>
      <c r="C511" s="16" t="s">
        <v>33</v>
      </c>
      <c r="D511" s="16" t="s">
        <v>109</v>
      </c>
      <c r="E511" s="17">
        <v>13</v>
      </c>
      <c r="F511" s="16" t="s">
        <v>70</v>
      </c>
      <c r="G511" s="16" t="str">
        <f t="shared" si="9"/>
        <v>Julio</v>
      </c>
    </row>
    <row r="512" spans="1:7" x14ac:dyDescent="0.25">
      <c r="A512" s="16" t="s">
        <v>9</v>
      </c>
      <c r="B512" s="24">
        <v>46213</v>
      </c>
      <c r="C512" s="16" t="s">
        <v>42</v>
      </c>
      <c r="D512" s="16" t="s">
        <v>178</v>
      </c>
      <c r="E512" s="17">
        <v>20</v>
      </c>
      <c r="F512" s="16" t="s">
        <v>70</v>
      </c>
      <c r="G512" s="16" t="str">
        <f t="shared" si="9"/>
        <v>Julio</v>
      </c>
    </row>
    <row r="513" spans="1:7" x14ac:dyDescent="0.25">
      <c r="A513" s="16" t="s">
        <v>5</v>
      </c>
      <c r="B513" s="24">
        <v>46213</v>
      </c>
      <c r="C513" s="16" t="s">
        <v>6</v>
      </c>
      <c r="D513" s="16" t="s">
        <v>189</v>
      </c>
      <c r="E513" s="17">
        <v>2721.6</v>
      </c>
      <c r="F513" s="16" t="s">
        <v>70</v>
      </c>
      <c r="G513" s="16" t="str">
        <f t="shared" si="9"/>
        <v>Julio</v>
      </c>
    </row>
    <row r="514" spans="1:7" x14ac:dyDescent="0.25">
      <c r="A514" s="16" t="s">
        <v>9</v>
      </c>
      <c r="B514" s="24">
        <v>46213</v>
      </c>
      <c r="C514" s="16" t="s">
        <v>33</v>
      </c>
      <c r="D514" s="16" t="s">
        <v>190</v>
      </c>
      <c r="E514" s="17">
        <v>2084.8000000000002</v>
      </c>
      <c r="F514" s="16" t="s">
        <v>70</v>
      </c>
      <c r="G514" s="16" t="str">
        <f t="shared" si="9"/>
        <v>Julio</v>
      </c>
    </row>
    <row r="515" spans="1:7" x14ac:dyDescent="0.25">
      <c r="A515" s="16" t="s">
        <v>9</v>
      </c>
      <c r="B515" s="24">
        <v>46213</v>
      </c>
      <c r="C515" s="16" t="s">
        <v>42</v>
      </c>
      <c r="D515" s="16" t="s">
        <v>176</v>
      </c>
      <c r="E515" s="17">
        <f>635.21-155-320.21</f>
        <v>160.00000000000006</v>
      </c>
      <c r="F515" s="16" t="s">
        <v>70</v>
      </c>
      <c r="G515" s="16" t="str">
        <f t="shared" si="9"/>
        <v>Julio</v>
      </c>
    </row>
    <row r="516" spans="1:7" x14ac:dyDescent="0.25">
      <c r="A516" s="16" t="s">
        <v>9</v>
      </c>
      <c r="B516" s="24">
        <v>46213</v>
      </c>
      <c r="C516" s="85" t="s">
        <v>32</v>
      </c>
      <c r="D516" s="16" t="s">
        <v>117</v>
      </c>
      <c r="E516" s="17">
        <v>0.61</v>
      </c>
      <c r="F516" s="16" t="s">
        <v>105</v>
      </c>
      <c r="G516" s="16" t="str">
        <f t="shared" si="9"/>
        <v>Julio</v>
      </c>
    </row>
    <row r="517" spans="1:7" x14ac:dyDescent="0.25">
      <c r="A517" s="16" t="s">
        <v>9</v>
      </c>
      <c r="B517" s="24">
        <v>46214</v>
      </c>
      <c r="C517" s="16" t="s">
        <v>33</v>
      </c>
      <c r="D517" s="16" t="s">
        <v>106</v>
      </c>
      <c r="E517" s="17">
        <v>34.5</v>
      </c>
      <c r="F517" s="16" t="s">
        <v>70</v>
      </c>
      <c r="G517" s="16" t="str">
        <f t="shared" si="9"/>
        <v>Julio</v>
      </c>
    </row>
    <row r="518" spans="1:7" x14ac:dyDescent="0.25">
      <c r="A518" s="16" t="s">
        <v>9</v>
      </c>
      <c r="B518" s="24">
        <v>46214</v>
      </c>
      <c r="C518" s="16" t="s">
        <v>33</v>
      </c>
      <c r="D518" s="16" t="s">
        <v>118</v>
      </c>
      <c r="E518" s="17">
        <v>12</v>
      </c>
      <c r="F518" s="16" t="s">
        <v>70</v>
      </c>
      <c r="G518" s="16" t="str">
        <f t="shared" si="9"/>
        <v>Julio</v>
      </c>
    </row>
    <row r="519" spans="1:7" x14ac:dyDescent="0.25">
      <c r="A519" s="16" t="s">
        <v>9</v>
      </c>
      <c r="B519" s="24">
        <v>46214</v>
      </c>
      <c r="C519" s="16" t="s">
        <v>42</v>
      </c>
      <c r="D519" s="16" t="s">
        <v>178</v>
      </c>
      <c r="E519" s="17">
        <v>38</v>
      </c>
      <c r="F519" s="16" t="s">
        <v>70</v>
      </c>
      <c r="G519" s="16" t="str">
        <f t="shared" si="9"/>
        <v>Julio</v>
      </c>
    </row>
    <row r="520" spans="1:7" x14ac:dyDescent="0.25">
      <c r="A520" s="16" t="s">
        <v>9</v>
      </c>
      <c r="B520" s="24">
        <v>46214</v>
      </c>
      <c r="C520" s="16" t="s">
        <v>42</v>
      </c>
      <c r="D520" s="16" t="s">
        <v>178</v>
      </c>
      <c r="E520" s="17">
        <v>49.5</v>
      </c>
      <c r="F520" s="16" t="s">
        <v>70</v>
      </c>
      <c r="G520" s="16" t="str">
        <f t="shared" si="9"/>
        <v>Julio</v>
      </c>
    </row>
    <row r="521" spans="1:7" x14ac:dyDescent="0.25">
      <c r="A521" s="16" t="s">
        <v>9</v>
      </c>
      <c r="B521" s="24">
        <v>46214</v>
      </c>
      <c r="C521" s="16" t="s">
        <v>33</v>
      </c>
      <c r="D521" s="16" t="s">
        <v>152</v>
      </c>
      <c r="E521" s="17">
        <v>16</v>
      </c>
      <c r="F521" s="85" t="s">
        <v>73</v>
      </c>
      <c r="G521" s="16" t="str">
        <f t="shared" si="9"/>
        <v>Julio</v>
      </c>
    </row>
    <row r="522" spans="1:7" x14ac:dyDescent="0.25">
      <c r="A522" s="16" t="s">
        <v>9</v>
      </c>
      <c r="B522" s="24">
        <v>46214</v>
      </c>
      <c r="C522" s="16" t="s">
        <v>33</v>
      </c>
      <c r="D522" s="16" t="s">
        <v>187</v>
      </c>
      <c r="E522" s="17">
        <v>3</v>
      </c>
      <c r="F522" s="85" t="s">
        <v>105</v>
      </c>
      <c r="G522" s="16" t="str">
        <f t="shared" si="9"/>
        <v>Julio</v>
      </c>
    </row>
    <row r="523" spans="1:7" x14ac:dyDescent="0.25">
      <c r="A523" s="16" t="s">
        <v>9</v>
      </c>
      <c r="B523" s="24">
        <v>46214</v>
      </c>
      <c r="C523" s="16" t="s">
        <v>42</v>
      </c>
      <c r="D523" s="16" t="s">
        <v>178</v>
      </c>
      <c r="E523" s="17">
        <v>56</v>
      </c>
      <c r="F523" s="85" t="s">
        <v>105</v>
      </c>
      <c r="G523" s="16" t="str">
        <f t="shared" si="9"/>
        <v>Julio</v>
      </c>
    </row>
    <row r="524" spans="1:7" x14ac:dyDescent="0.25">
      <c r="A524" s="16" t="s">
        <v>9</v>
      </c>
      <c r="B524" s="24">
        <v>46215</v>
      </c>
      <c r="C524" s="16" t="s">
        <v>33</v>
      </c>
      <c r="D524" s="16" t="s">
        <v>109</v>
      </c>
      <c r="E524" s="17">
        <v>15</v>
      </c>
      <c r="F524" s="16" t="s">
        <v>70</v>
      </c>
      <c r="G524" s="16" t="str">
        <f t="shared" si="9"/>
        <v>Julio</v>
      </c>
    </row>
    <row r="525" spans="1:7" x14ac:dyDescent="0.25">
      <c r="A525" s="16" t="s">
        <v>9</v>
      </c>
      <c r="B525" s="24">
        <v>46218</v>
      </c>
      <c r="C525" s="16" t="s">
        <v>63</v>
      </c>
      <c r="D525" s="16" t="s">
        <v>184</v>
      </c>
      <c r="E525" s="17">
        <v>143.16</v>
      </c>
      <c r="F525" s="16" t="s">
        <v>70</v>
      </c>
      <c r="G525" s="16" t="str">
        <f t="shared" si="9"/>
        <v>Julio</v>
      </c>
    </row>
    <row r="526" spans="1:7" x14ac:dyDescent="0.25">
      <c r="A526" s="16" t="s">
        <v>9</v>
      </c>
      <c r="B526" s="24">
        <v>46218</v>
      </c>
      <c r="C526" s="16" t="s">
        <v>33</v>
      </c>
      <c r="D526" s="16" t="s">
        <v>191</v>
      </c>
      <c r="E526" s="17">
        <v>132</v>
      </c>
      <c r="F526" s="16" t="s">
        <v>70</v>
      </c>
      <c r="G526" s="16" t="str">
        <f t="shared" si="9"/>
        <v>Julio</v>
      </c>
    </row>
    <row r="527" spans="1:7" x14ac:dyDescent="0.25">
      <c r="A527" s="16" t="s">
        <v>9</v>
      </c>
      <c r="B527" s="24">
        <v>46218</v>
      </c>
      <c r="C527" s="16" t="s">
        <v>33</v>
      </c>
      <c r="D527" s="16" t="s">
        <v>106</v>
      </c>
      <c r="E527" s="17">
        <v>17.5</v>
      </c>
      <c r="F527" s="16" t="s">
        <v>70</v>
      </c>
      <c r="G527" s="16" t="str">
        <f t="shared" si="9"/>
        <v>Julio</v>
      </c>
    </row>
    <row r="528" spans="1:7" x14ac:dyDescent="0.25">
      <c r="A528" s="16" t="s">
        <v>9</v>
      </c>
      <c r="B528" s="24">
        <v>46218</v>
      </c>
      <c r="C528" s="16" t="s">
        <v>33</v>
      </c>
      <c r="D528" s="16" t="s">
        <v>152</v>
      </c>
      <c r="E528" s="17">
        <v>20</v>
      </c>
      <c r="F528" s="85" t="s">
        <v>105</v>
      </c>
      <c r="G528" s="16" t="str">
        <f t="shared" si="9"/>
        <v>Julio</v>
      </c>
    </row>
    <row r="529" spans="1:7" x14ac:dyDescent="0.25">
      <c r="A529" s="16" t="s">
        <v>9</v>
      </c>
      <c r="B529" s="24">
        <v>46218</v>
      </c>
      <c r="C529" s="16" t="s">
        <v>33</v>
      </c>
      <c r="D529" s="16" t="s">
        <v>123</v>
      </c>
      <c r="E529" s="17">
        <v>96</v>
      </c>
      <c r="F529" s="85" t="s">
        <v>105</v>
      </c>
      <c r="G529" s="16" t="str">
        <f t="shared" si="9"/>
        <v>Julio</v>
      </c>
    </row>
    <row r="530" spans="1:7" x14ac:dyDescent="0.25">
      <c r="A530" s="16" t="s">
        <v>9</v>
      </c>
      <c r="B530" s="24">
        <v>46218</v>
      </c>
      <c r="C530" s="16" t="s">
        <v>42</v>
      </c>
      <c r="D530" s="16" t="s">
        <v>178</v>
      </c>
      <c r="E530" s="17">
        <v>16</v>
      </c>
      <c r="F530" s="16" t="s">
        <v>105</v>
      </c>
      <c r="G530" s="16" t="str">
        <f t="shared" si="9"/>
        <v>Julio</v>
      </c>
    </row>
    <row r="531" spans="1:7" x14ac:dyDescent="0.25">
      <c r="A531" s="16" t="s">
        <v>9</v>
      </c>
      <c r="B531" s="24">
        <v>46220</v>
      </c>
      <c r="C531" s="16" t="s">
        <v>33</v>
      </c>
      <c r="D531" s="16" t="s">
        <v>106</v>
      </c>
      <c r="E531" s="17">
        <v>11.5</v>
      </c>
      <c r="F531" s="16" t="s">
        <v>70</v>
      </c>
      <c r="G531" s="16" t="str">
        <f t="shared" ref="G531:G552" si="10">TEXT(B531,"MMMM")</f>
        <v>Julio</v>
      </c>
    </row>
    <row r="532" spans="1:7" x14ac:dyDescent="0.25">
      <c r="A532" s="16" t="s">
        <v>9</v>
      </c>
      <c r="B532" s="24">
        <v>46220</v>
      </c>
      <c r="C532" s="16" t="s">
        <v>42</v>
      </c>
      <c r="D532" s="16" t="s">
        <v>178</v>
      </c>
      <c r="E532" s="17">
        <v>15</v>
      </c>
      <c r="F532" s="16" t="s">
        <v>70</v>
      </c>
      <c r="G532" s="16" t="str">
        <f t="shared" si="10"/>
        <v>Julio</v>
      </c>
    </row>
    <row r="533" spans="1:7" x14ac:dyDescent="0.25">
      <c r="A533" s="16" t="s">
        <v>9</v>
      </c>
      <c r="B533" s="24">
        <v>46221</v>
      </c>
      <c r="C533" s="16" t="s">
        <v>33</v>
      </c>
      <c r="D533" s="16" t="s">
        <v>106</v>
      </c>
      <c r="E533" s="17">
        <v>55</v>
      </c>
      <c r="F533" s="16" t="s">
        <v>70</v>
      </c>
      <c r="G533" s="16" t="str">
        <f t="shared" si="10"/>
        <v>Julio</v>
      </c>
    </row>
    <row r="534" spans="1:7" x14ac:dyDescent="0.25">
      <c r="A534" s="16" t="s">
        <v>9</v>
      </c>
      <c r="B534" s="24">
        <v>46221</v>
      </c>
      <c r="C534" s="16" t="s">
        <v>33</v>
      </c>
      <c r="D534" s="16" t="s">
        <v>121</v>
      </c>
      <c r="E534" s="17">
        <v>12</v>
      </c>
      <c r="F534" s="16" t="s">
        <v>70</v>
      </c>
      <c r="G534" s="16" t="str">
        <f t="shared" si="10"/>
        <v>Julio</v>
      </c>
    </row>
    <row r="535" spans="1:7" x14ac:dyDescent="0.25">
      <c r="A535" s="16" t="s">
        <v>9</v>
      </c>
      <c r="B535" s="24">
        <v>46221</v>
      </c>
      <c r="C535" s="16" t="s">
        <v>42</v>
      </c>
      <c r="D535" s="16" t="s">
        <v>178</v>
      </c>
      <c r="E535" s="17">
        <v>74.72</v>
      </c>
      <c r="F535" s="85" t="s">
        <v>73</v>
      </c>
      <c r="G535" s="16" t="str">
        <f t="shared" si="10"/>
        <v>Julio</v>
      </c>
    </row>
    <row r="536" spans="1:7" x14ac:dyDescent="0.25">
      <c r="A536" s="16" t="s">
        <v>9</v>
      </c>
      <c r="B536" s="24">
        <v>46222</v>
      </c>
      <c r="C536" s="16" t="s">
        <v>33</v>
      </c>
      <c r="D536" s="16" t="s">
        <v>145</v>
      </c>
      <c r="E536" s="17">
        <v>11</v>
      </c>
      <c r="F536" s="16" t="s">
        <v>70</v>
      </c>
      <c r="G536" s="16" t="str">
        <f t="shared" si="10"/>
        <v>Julio</v>
      </c>
    </row>
    <row r="537" spans="1:7" x14ac:dyDescent="0.25">
      <c r="A537" s="16" t="s">
        <v>9</v>
      </c>
      <c r="B537" s="24">
        <v>46222</v>
      </c>
      <c r="C537" s="16" t="s">
        <v>33</v>
      </c>
      <c r="D537" s="16" t="s">
        <v>106</v>
      </c>
      <c r="E537" s="17">
        <v>8</v>
      </c>
      <c r="F537" s="16" t="s">
        <v>70</v>
      </c>
      <c r="G537" s="16" t="str">
        <f t="shared" si="10"/>
        <v>Julio</v>
      </c>
    </row>
    <row r="538" spans="1:7" x14ac:dyDescent="0.25">
      <c r="A538" s="16" t="s">
        <v>9</v>
      </c>
      <c r="B538" s="24">
        <v>46222</v>
      </c>
      <c r="C538" s="16" t="s">
        <v>33</v>
      </c>
      <c r="D538" t="s">
        <v>122</v>
      </c>
      <c r="E538" s="17">
        <v>14</v>
      </c>
      <c r="F538" s="85" t="s">
        <v>105</v>
      </c>
      <c r="G538" s="16" t="str">
        <f t="shared" si="10"/>
        <v>Julio</v>
      </c>
    </row>
    <row r="539" spans="1:7" x14ac:dyDescent="0.25">
      <c r="A539" s="16" t="s">
        <v>9</v>
      </c>
      <c r="B539" s="24">
        <v>46222</v>
      </c>
      <c r="C539" s="16" t="s">
        <v>33</v>
      </c>
      <c r="D539" s="16" t="s">
        <v>109</v>
      </c>
      <c r="E539" s="17">
        <v>30</v>
      </c>
      <c r="F539" s="85" t="s">
        <v>105</v>
      </c>
      <c r="G539" s="16" t="str">
        <f t="shared" si="10"/>
        <v>Julio</v>
      </c>
    </row>
    <row r="540" spans="1:7" x14ac:dyDescent="0.25">
      <c r="A540" s="16" t="s">
        <v>9</v>
      </c>
      <c r="B540" s="24">
        <v>46223</v>
      </c>
      <c r="C540" s="16" t="s">
        <v>33</v>
      </c>
      <c r="D540" s="16" t="s">
        <v>106</v>
      </c>
      <c r="E540" s="17">
        <v>9.5</v>
      </c>
      <c r="F540" s="16" t="s">
        <v>70</v>
      </c>
      <c r="G540" s="16" t="str">
        <f t="shared" si="10"/>
        <v>Julio</v>
      </c>
    </row>
    <row r="541" spans="1:7" x14ac:dyDescent="0.25">
      <c r="A541" s="16" t="s">
        <v>9</v>
      </c>
      <c r="B541" s="24">
        <v>46223</v>
      </c>
      <c r="C541" s="16" t="s">
        <v>33</v>
      </c>
      <c r="D541" t="s">
        <v>122</v>
      </c>
      <c r="E541" s="17">
        <v>3.5</v>
      </c>
      <c r="F541" s="16" t="s">
        <v>70</v>
      </c>
      <c r="G541" s="16" t="str">
        <f t="shared" si="10"/>
        <v>Julio</v>
      </c>
    </row>
    <row r="542" spans="1:7" x14ac:dyDescent="0.25">
      <c r="A542" s="16" t="s">
        <v>9</v>
      </c>
      <c r="B542" s="24">
        <v>46223</v>
      </c>
      <c r="C542" s="16" t="s">
        <v>32</v>
      </c>
      <c r="D542" s="16" t="s">
        <v>99</v>
      </c>
      <c r="E542" s="17">
        <v>39.9</v>
      </c>
      <c r="F542" s="85" t="s">
        <v>73</v>
      </c>
      <c r="G542" s="16" t="str">
        <f t="shared" si="10"/>
        <v>Julio</v>
      </c>
    </row>
    <row r="543" spans="1:7" x14ac:dyDescent="0.25">
      <c r="A543" s="16" t="s">
        <v>9</v>
      </c>
      <c r="B543" s="24">
        <v>46223</v>
      </c>
      <c r="C543" s="16" t="s">
        <v>42</v>
      </c>
      <c r="D543" s="16" t="s">
        <v>178</v>
      </c>
      <c r="E543" s="17">
        <v>37</v>
      </c>
      <c r="F543" s="16" t="s">
        <v>105</v>
      </c>
      <c r="G543" s="16" t="str">
        <f t="shared" si="10"/>
        <v>Julio</v>
      </c>
    </row>
    <row r="544" spans="1:7" x14ac:dyDescent="0.25">
      <c r="A544" s="16" t="s">
        <v>9</v>
      </c>
      <c r="B544" s="24">
        <v>46223</v>
      </c>
      <c r="C544" s="16" t="s">
        <v>33</v>
      </c>
      <c r="D544" s="16" t="s">
        <v>109</v>
      </c>
      <c r="E544" s="17">
        <v>9.9700000000000006</v>
      </c>
      <c r="F544" s="16" t="s">
        <v>70</v>
      </c>
      <c r="G544" s="16" t="str">
        <f t="shared" si="10"/>
        <v>Julio</v>
      </c>
    </row>
    <row r="545" spans="1:7" x14ac:dyDescent="0.25">
      <c r="A545" s="16" t="s">
        <v>9</v>
      </c>
      <c r="B545" s="24">
        <v>46226</v>
      </c>
      <c r="C545" s="16" t="s">
        <v>32</v>
      </c>
      <c r="D545" s="16" t="s">
        <v>98</v>
      </c>
      <c r="E545" s="17">
        <v>14.69</v>
      </c>
      <c r="F545" s="16" t="s">
        <v>70</v>
      </c>
      <c r="G545" s="16" t="str">
        <f t="shared" si="10"/>
        <v>Julio</v>
      </c>
    </row>
    <row r="546" spans="1:7" x14ac:dyDescent="0.25">
      <c r="A546" s="16" t="s">
        <v>9</v>
      </c>
      <c r="B546" s="24">
        <v>46226</v>
      </c>
      <c r="C546" s="16" t="s">
        <v>33</v>
      </c>
      <c r="D546" s="16" t="s">
        <v>106</v>
      </c>
      <c r="E546" s="17">
        <v>18.899999999999999</v>
      </c>
      <c r="F546" s="16" t="s">
        <v>70</v>
      </c>
      <c r="G546" s="16" t="str">
        <f t="shared" si="10"/>
        <v>Julio</v>
      </c>
    </row>
    <row r="547" spans="1:7" x14ac:dyDescent="0.25">
      <c r="A547" s="16" t="s">
        <v>9</v>
      </c>
      <c r="B547" s="24">
        <v>46226</v>
      </c>
      <c r="C547" s="16" t="s">
        <v>33</v>
      </c>
      <c r="D547" s="16" t="s">
        <v>225</v>
      </c>
      <c r="E547" s="17">
        <v>1.8</v>
      </c>
      <c r="F547" s="16" t="s">
        <v>70</v>
      </c>
      <c r="G547" s="16" t="str">
        <f t="shared" si="10"/>
        <v>Julio</v>
      </c>
    </row>
    <row r="548" spans="1:7" x14ac:dyDescent="0.25">
      <c r="A548" s="16" t="s">
        <v>9</v>
      </c>
      <c r="B548" s="24">
        <v>46226</v>
      </c>
      <c r="C548" s="16" t="s">
        <v>42</v>
      </c>
      <c r="D548" s="16" t="s">
        <v>178</v>
      </c>
      <c r="E548" s="17">
        <v>6</v>
      </c>
      <c r="F548" s="16" t="s">
        <v>70</v>
      </c>
      <c r="G548" s="16" t="str">
        <f t="shared" si="10"/>
        <v>Julio</v>
      </c>
    </row>
    <row r="549" spans="1:7" x14ac:dyDescent="0.25">
      <c r="A549" s="16" t="s">
        <v>9</v>
      </c>
      <c r="B549" s="24">
        <v>46226</v>
      </c>
      <c r="C549" s="16" t="s">
        <v>33</v>
      </c>
      <c r="D549" s="16" t="s">
        <v>123</v>
      </c>
      <c r="E549" s="17">
        <v>108</v>
      </c>
      <c r="F549" s="16" t="s">
        <v>73</v>
      </c>
      <c r="G549" s="16" t="str">
        <f t="shared" si="10"/>
        <v>Julio</v>
      </c>
    </row>
    <row r="550" spans="1:7" x14ac:dyDescent="0.25">
      <c r="A550" s="16" t="s">
        <v>9</v>
      </c>
      <c r="B550" s="24">
        <v>46226</v>
      </c>
      <c r="C550" s="16" t="s">
        <v>42</v>
      </c>
      <c r="D550" s="16" t="s">
        <v>178</v>
      </c>
      <c r="E550" s="17">
        <v>9</v>
      </c>
      <c r="F550" s="16" t="s">
        <v>73</v>
      </c>
      <c r="G550" s="16" t="str">
        <f t="shared" si="10"/>
        <v>Julio</v>
      </c>
    </row>
    <row r="551" spans="1:7" x14ac:dyDescent="0.25">
      <c r="A551" s="16" t="s">
        <v>9</v>
      </c>
      <c r="B551" s="24">
        <v>46227</v>
      </c>
      <c r="C551" s="16" t="s">
        <v>33</v>
      </c>
      <c r="D551" s="16" t="s">
        <v>227</v>
      </c>
      <c r="E551" s="17">
        <v>3.5</v>
      </c>
      <c r="F551" s="85" t="s">
        <v>70</v>
      </c>
      <c r="G551" s="16" t="str">
        <f t="shared" si="10"/>
        <v>Julio</v>
      </c>
    </row>
    <row r="552" spans="1:7" x14ac:dyDescent="0.25">
      <c r="A552" s="16" t="s">
        <v>9</v>
      </c>
      <c r="B552" s="24">
        <v>46227</v>
      </c>
      <c r="C552" s="16" t="s">
        <v>33</v>
      </c>
      <c r="D552" s="16" t="s">
        <v>124</v>
      </c>
      <c r="E552" s="17">
        <v>10</v>
      </c>
      <c r="F552" s="85" t="s">
        <v>70</v>
      </c>
      <c r="G552" s="16" t="str">
        <f t="shared" si="10"/>
        <v>Julio</v>
      </c>
    </row>
    <row r="553" spans="1:7" x14ac:dyDescent="0.25">
      <c r="A553" s="16" t="s">
        <v>9</v>
      </c>
      <c r="B553" s="24">
        <v>46228</v>
      </c>
      <c r="C553" s="16" t="s">
        <v>33</v>
      </c>
      <c r="D553" s="16" t="s">
        <v>106</v>
      </c>
      <c r="E553" s="17">
        <v>11.9</v>
      </c>
      <c r="F553" s="16" t="s">
        <v>70</v>
      </c>
      <c r="G553" s="16" t="str">
        <f t="shared" ref="G553:G555" si="11">TEXT(B553,"MMMM")</f>
        <v>Julio</v>
      </c>
    </row>
    <row r="554" spans="1:7" x14ac:dyDescent="0.25">
      <c r="A554" s="16" t="s">
        <v>9</v>
      </c>
      <c r="B554" s="24">
        <v>46228</v>
      </c>
      <c r="C554" s="16" t="s">
        <v>33</v>
      </c>
      <c r="D554" s="16" t="s">
        <v>106</v>
      </c>
      <c r="E554" s="17">
        <v>12.1</v>
      </c>
      <c r="F554" s="16" t="s">
        <v>70</v>
      </c>
      <c r="G554" s="16" t="str">
        <f t="shared" si="11"/>
        <v>Julio</v>
      </c>
    </row>
    <row r="555" spans="1:7" x14ac:dyDescent="0.25">
      <c r="A555" s="16" t="s">
        <v>9</v>
      </c>
      <c r="B555" s="24">
        <v>46228</v>
      </c>
      <c r="C555" s="16" t="s">
        <v>33</v>
      </c>
      <c r="D555" s="16" t="s">
        <v>115</v>
      </c>
      <c r="E555" s="17">
        <v>34.5</v>
      </c>
      <c r="F555" s="16" t="s">
        <v>73</v>
      </c>
      <c r="G555" s="16" t="str">
        <f t="shared" si="11"/>
        <v>Julio</v>
      </c>
    </row>
    <row r="556" spans="1:7" x14ac:dyDescent="0.25">
      <c r="A556" s="16" t="s">
        <v>9</v>
      </c>
      <c r="B556" s="24">
        <v>46229</v>
      </c>
      <c r="C556" s="16" t="s">
        <v>33</v>
      </c>
      <c r="D556" t="s">
        <v>122</v>
      </c>
      <c r="E556" s="17">
        <v>31.9</v>
      </c>
      <c r="F556" s="16" t="s">
        <v>73</v>
      </c>
      <c r="G556" s="16" t="str">
        <f t="shared" ref="G556" si="12">TEXT(B556,"MMMM")</f>
        <v>Julio</v>
      </c>
    </row>
    <row r="557" spans="1:7" x14ac:dyDescent="0.25">
      <c r="A557" s="16" t="s">
        <v>9</v>
      </c>
      <c r="B557" s="24">
        <v>46229</v>
      </c>
      <c r="C557" s="16" t="s">
        <v>33</v>
      </c>
      <c r="D557" s="16" t="s">
        <v>109</v>
      </c>
      <c r="E557" s="17">
        <v>11</v>
      </c>
      <c r="F557" s="16" t="s">
        <v>70</v>
      </c>
      <c r="G557" s="16" t="str">
        <f t="shared" ref="G557:G558" si="13">TEXT(B557,"MMMM")</f>
        <v>Julio</v>
      </c>
    </row>
    <row r="558" spans="1:7" x14ac:dyDescent="0.25">
      <c r="A558" s="16" t="s">
        <v>9</v>
      </c>
      <c r="B558" s="24">
        <v>46230</v>
      </c>
      <c r="C558" s="16" t="s">
        <v>33</v>
      </c>
      <c r="D558" s="16" t="s">
        <v>106</v>
      </c>
      <c r="E558" s="17">
        <v>2</v>
      </c>
      <c r="F558" s="16" t="s">
        <v>70</v>
      </c>
      <c r="G558" s="16" t="str">
        <f t="shared" si="13"/>
        <v>Julio</v>
      </c>
    </row>
    <row r="559" spans="1:7" x14ac:dyDescent="0.25">
      <c r="A559" s="16" t="s">
        <v>9</v>
      </c>
      <c r="B559" s="24">
        <v>46230</v>
      </c>
      <c r="C559" s="16" t="s">
        <v>33</v>
      </c>
      <c r="D559" s="16" t="s">
        <v>110</v>
      </c>
      <c r="E559" s="17">
        <v>6</v>
      </c>
      <c r="F559" s="16" t="s">
        <v>70</v>
      </c>
      <c r="G559" s="16" t="str">
        <f t="shared" ref="G559" si="14">TEXT(B559,"MMMM")</f>
        <v>Julio</v>
      </c>
    </row>
    <row r="560" spans="1:7" x14ac:dyDescent="0.25">
      <c r="A560" s="16" t="s">
        <v>5</v>
      </c>
      <c r="B560" s="24">
        <v>46235</v>
      </c>
      <c r="C560" s="16" t="s">
        <v>43</v>
      </c>
      <c r="D560" s="16" t="s">
        <v>92</v>
      </c>
      <c r="E560" s="17">
        <f>503.450000000001+0.78+5.5+290-2.52-0.3-1.5</f>
        <v>795.41000000000099</v>
      </c>
      <c r="F560" s="16" t="s">
        <v>70</v>
      </c>
      <c r="G560" s="16" t="str">
        <f t="shared" ref="G560:G591" si="15">TEXT(B560,"MMMM")</f>
        <v>Agosto</v>
      </c>
    </row>
    <row r="561" spans="1:7" x14ac:dyDescent="0.25">
      <c r="A561" s="16" t="s">
        <v>5</v>
      </c>
      <c r="B561" s="24">
        <v>46235</v>
      </c>
      <c r="C561" s="16" t="s">
        <v>6</v>
      </c>
      <c r="D561" s="16" t="s">
        <v>6</v>
      </c>
      <c r="E561" s="17">
        <v>2259.63</v>
      </c>
      <c r="F561" s="16" t="s">
        <v>70</v>
      </c>
      <c r="G561" s="16" t="str">
        <f t="shared" si="15"/>
        <v>Agosto</v>
      </c>
    </row>
    <row r="562" spans="1:7" x14ac:dyDescent="0.25">
      <c r="A562" s="16" t="s">
        <v>5</v>
      </c>
      <c r="B562" s="24">
        <v>46235</v>
      </c>
      <c r="C562" s="16" t="s">
        <v>103</v>
      </c>
      <c r="D562" s="16" t="s">
        <v>104</v>
      </c>
      <c r="E562" s="17">
        <v>819.05</v>
      </c>
      <c r="F562" s="16" t="s">
        <v>73</v>
      </c>
      <c r="G562" s="16" t="str">
        <f t="shared" si="15"/>
        <v>Agosto</v>
      </c>
    </row>
    <row r="563" spans="1:7" x14ac:dyDescent="0.25">
      <c r="A563" s="16" t="s">
        <v>5</v>
      </c>
      <c r="B563" s="24">
        <v>46235</v>
      </c>
      <c r="C563" s="16" t="s">
        <v>103</v>
      </c>
      <c r="D563" s="16" t="s">
        <v>104</v>
      </c>
      <c r="E563" s="17">
        <f>248.4+60.27</f>
        <v>308.67</v>
      </c>
      <c r="F563" s="16" t="s">
        <v>105</v>
      </c>
      <c r="G563" s="16" t="str">
        <f t="shared" si="15"/>
        <v>Agosto</v>
      </c>
    </row>
    <row r="564" spans="1:7" x14ac:dyDescent="0.25">
      <c r="A564" s="16" t="s">
        <v>5</v>
      </c>
      <c r="B564" s="24">
        <v>46235</v>
      </c>
      <c r="C564" s="16" t="s">
        <v>103</v>
      </c>
      <c r="D564" s="16" t="s">
        <v>104</v>
      </c>
      <c r="E564" s="17">
        <f>7.38+E567</f>
        <v>835.14</v>
      </c>
      <c r="F564" s="16" t="s">
        <v>180</v>
      </c>
      <c r="G564" s="16" t="str">
        <f t="shared" si="15"/>
        <v>Agosto</v>
      </c>
    </row>
    <row r="565" spans="1:7" x14ac:dyDescent="0.25">
      <c r="A565" s="16" t="s">
        <v>9</v>
      </c>
      <c r="B565" s="24">
        <v>46235</v>
      </c>
      <c r="C565" s="16" t="s">
        <v>32</v>
      </c>
      <c r="D565" s="16" t="s">
        <v>101</v>
      </c>
      <c r="E565" s="17">
        <v>20</v>
      </c>
      <c r="F565" s="16" t="s">
        <v>70</v>
      </c>
      <c r="G565" s="16" t="str">
        <f t="shared" si="15"/>
        <v>Agosto</v>
      </c>
    </row>
    <row r="566" spans="1:7" x14ac:dyDescent="0.25">
      <c r="A566" s="16" t="s">
        <v>9</v>
      </c>
      <c r="B566" s="24">
        <v>46235</v>
      </c>
      <c r="C566" s="16" t="s">
        <v>63</v>
      </c>
      <c r="D566" s="16" t="s">
        <v>159</v>
      </c>
      <c r="E566" s="17">
        <v>245.75</v>
      </c>
      <c r="F566" s="16" t="s">
        <v>70</v>
      </c>
      <c r="G566" s="16" t="str">
        <f t="shared" si="15"/>
        <v>Agosto</v>
      </c>
    </row>
    <row r="567" spans="1:7" x14ac:dyDescent="0.25">
      <c r="A567" s="16" t="s">
        <v>9</v>
      </c>
      <c r="B567" s="24">
        <v>46235</v>
      </c>
      <c r="C567" s="16" t="s">
        <v>32</v>
      </c>
      <c r="D567" s="16" t="s">
        <v>193</v>
      </c>
      <c r="E567" s="17">
        <v>827.76</v>
      </c>
      <c r="F567" s="16" t="s">
        <v>70</v>
      </c>
      <c r="G567" s="16" t="str">
        <f t="shared" si="15"/>
        <v>Agosto</v>
      </c>
    </row>
    <row r="568" spans="1:7" x14ac:dyDescent="0.25">
      <c r="A568" s="16" t="s">
        <v>9</v>
      </c>
      <c r="B568" s="24">
        <v>46235</v>
      </c>
      <c r="C568" s="16" t="s">
        <v>63</v>
      </c>
      <c r="D568" s="16" t="s">
        <v>185</v>
      </c>
      <c r="E568" s="17">
        <v>116.85</v>
      </c>
      <c r="F568" s="16" t="s">
        <v>70</v>
      </c>
      <c r="G568" s="16" t="str">
        <f t="shared" si="15"/>
        <v>Agosto</v>
      </c>
    </row>
    <row r="569" spans="1:7" x14ac:dyDescent="0.25">
      <c r="A569" s="16" t="s">
        <v>9</v>
      </c>
      <c r="B569" s="24">
        <v>46235</v>
      </c>
      <c r="C569" s="16" t="s">
        <v>32</v>
      </c>
      <c r="D569" s="16" t="s">
        <v>96</v>
      </c>
      <c r="E569" s="17">
        <v>160</v>
      </c>
      <c r="F569" s="16" t="s">
        <v>70</v>
      </c>
      <c r="G569" s="16" t="str">
        <f t="shared" si="15"/>
        <v>Agosto</v>
      </c>
    </row>
    <row r="570" spans="1:7" x14ac:dyDescent="0.25">
      <c r="A570" s="16" t="s">
        <v>9</v>
      </c>
      <c r="B570" s="24">
        <v>46235</v>
      </c>
      <c r="C570" s="16" t="s">
        <v>32</v>
      </c>
      <c r="D570" s="16" t="s">
        <v>158</v>
      </c>
      <c r="E570" s="17">
        <v>731.69</v>
      </c>
      <c r="F570" s="16" t="s">
        <v>70</v>
      </c>
      <c r="G570" s="16" t="str">
        <f t="shared" si="15"/>
        <v>Agosto</v>
      </c>
    </row>
    <row r="571" spans="1:7" x14ac:dyDescent="0.25">
      <c r="A571" s="16" t="s">
        <v>9</v>
      </c>
      <c r="B571" s="24">
        <v>46235</v>
      </c>
      <c r="C571" s="16" t="s">
        <v>32</v>
      </c>
      <c r="D571" s="16" t="s">
        <v>102</v>
      </c>
      <c r="E571" s="17">
        <v>60.27</v>
      </c>
      <c r="F571" s="16" t="s">
        <v>70</v>
      </c>
      <c r="G571" s="16" t="str">
        <f t="shared" si="15"/>
        <v>Agosto</v>
      </c>
    </row>
    <row r="572" spans="1:7" x14ac:dyDescent="0.25">
      <c r="A572" s="16" t="s">
        <v>9</v>
      </c>
      <c r="B572" s="24">
        <v>46235</v>
      </c>
      <c r="C572" s="16" t="s">
        <v>42</v>
      </c>
      <c r="D572" s="16" t="s">
        <v>178</v>
      </c>
      <c r="E572" s="17">
        <v>21</v>
      </c>
      <c r="F572" s="16" t="s">
        <v>73</v>
      </c>
      <c r="G572" s="16" t="str">
        <f t="shared" si="15"/>
        <v>Agosto</v>
      </c>
    </row>
    <row r="573" spans="1:7" x14ac:dyDescent="0.25">
      <c r="A573" s="16" t="s">
        <v>9</v>
      </c>
      <c r="B573" s="24">
        <v>46235</v>
      </c>
      <c r="C573" s="16" t="s">
        <v>42</v>
      </c>
      <c r="D573" s="16" t="s">
        <v>178</v>
      </c>
      <c r="E573" s="17">
        <v>14</v>
      </c>
      <c r="F573" s="16" t="s">
        <v>73</v>
      </c>
      <c r="G573" s="16" t="str">
        <f t="shared" si="15"/>
        <v>Agosto</v>
      </c>
    </row>
    <row r="574" spans="1:7" x14ac:dyDescent="0.25">
      <c r="A574" s="16" t="s">
        <v>9</v>
      </c>
      <c r="B574" s="24">
        <v>46235</v>
      </c>
      <c r="C574" s="16" t="s">
        <v>42</v>
      </c>
      <c r="D574" s="16" t="s">
        <v>178</v>
      </c>
      <c r="E574" s="17">
        <v>20</v>
      </c>
      <c r="F574" s="16" t="s">
        <v>73</v>
      </c>
      <c r="G574" s="16" t="str">
        <f t="shared" si="15"/>
        <v>Agosto</v>
      </c>
    </row>
    <row r="575" spans="1:7" x14ac:dyDescent="0.25">
      <c r="A575" s="16" t="s">
        <v>9</v>
      </c>
      <c r="B575" s="24">
        <v>46235</v>
      </c>
      <c r="C575" s="16" t="s">
        <v>42</v>
      </c>
      <c r="D575" s="16" t="s">
        <v>178</v>
      </c>
      <c r="E575" s="17">
        <v>53</v>
      </c>
      <c r="F575" s="16" t="s">
        <v>73</v>
      </c>
      <c r="G575" s="16" t="str">
        <f t="shared" si="15"/>
        <v>Agosto</v>
      </c>
    </row>
    <row r="576" spans="1:7" x14ac:dyDescent="0.25">
      <c r="A576" s="16" t="s">
        <v>9</v>
      </c>
      <c r="B576" s="24">
        <v>46235</v>
      </c>
      <c r="C576" s="16" t="s">
        <v>42</v>
      </c>
      <c r="D576" s="16" t="s">
        <v>178</v>
      </c>
      <c r="E576" s="17">
        <v>20</v>
      </c>
      <c r="F576" s="16" t="s">
        <v>70</v>
      </c>
      <c r="G576" s="16" t="str">
        <f t="shared" si="15"/>
        <v>Agosto</v>
      </c>
    </row>
    <row r="577" spans="1:7" x14ac:dyDescent="0.25">
      <c r="A577" s="16" t="s">
        <v>9</v>
      </c>
      <c r="B577" s="24">
        <v>46235</v>
      </c>
      <c r="C577" s="16" t="s">
        <v>33</v>
      </c>
      <c r="D577" s="16" t="s">
        <v>106</v>
      </c>
      <c r="E577" s="17">
        <v>14</v>
      </c>
      <c r="F577" s="16" t="s">
        <v>70</v>
      </c>
      <c r="G577" s="16" t="str">
        <f t="shared" si="15"/>
        <v>Agosto</v>
      </c>
    </row>
    <row r="578" spans="1:7" x14ac:dyDescent="0.25">
      <c r="A578" s="16" t="s">
        <v>9</v>
      </c>
      <c r="B578" s="24">
        <v>46235</v>
      </c>
      <c r="C578" s="16" t="s">
        <v>33</v>
      </c>
      <c r="D578" s="16" t="s">
        <v>129</v>
      </c>
      <c r="E578" s="17">
        <v>3.2</v>
      </c>
      <c r="F578" s="16" t="s">
        <v>70</v>
      </c>
      <c r="G578" s="16" t="str">
        <f t="shared" si="15"/>
        <v>Agosto</v>
      </c>
    </row>
    <row r="579" spans="1:7" x14ac:dyDescent="0.25">
      <c r="A579" s="16" t="s">
        <v>9</v>
      </c>
      <c r="B579" s="24">
        <v>46235</v>
      </c>
      <c r="C579" s="16" t="s">
        <v>32</v>
      </c>
      <c r="D579" s="16" t="s">
        <v>93</v>
      </c>
      <c r="E579" s="17">
        <v>78.48</v>
      </c>
      <c r="F579" s="16" t="s">
        <v>105</v>
      </c>
      <c r="G579" s="16" t="str">
        <f t="shared" si="15"/>
        <v>Agosto</v>
      </c>
    </row>
    <row r="580" spans="1:7" x14ac:dyDescent="0.25">
      <c r="A580" s="16" t="s">
        <v>9</v>
      </c>
      <c r="B580" s="24">
        <v>46235</v>
      </c>
      <c r="C580" s="16" t="s">
        <v>33</v>
      </c>
      <c r="D580" s="16" t="s">
        <v>106</v>
      </c>
      <c r="E580" s="17">
        <v>8</v>
      </c>
      <c r="F580" s="16" t="s">
        <v>70</v>
      </c>
      <c r="G580" s="16" t="str">
        <f t="shared" si="15"/>
        <v>Agosto</v>
      </c>
    </row>
    <row r="581" spans="1:7" x14ac:dyDescent="0.25">
      <c r="A581" s="16" t="s">
        <v>9</v>
      </c>
      <c r="B581" s="24">
        <v>46235</v>
      </c>
      <c r="C581" s="16" t="s">
        <v>33</v>
      </c>
      <c r="D581" s="16" t="s">
        <v>194</v>
      </c>
      <c r="E581" s="17">
        <v>40</v>
      </c>
      <c r="F581" s="16" t="s">
        <v>70</v>
      </c>
      <c r="G581" s="16" t="str">
        <f t="shared" si="15"/>
        <v>Agosto</v>
      </c>
    </row>
    <row r="582" spans="1:7" x14ac:dyDescent="0.25">
      <c r="A582" s="16" t="s">
        <v>9</v>
      </c>
      <c r="B582" s="24">
        <v>46235</v>
      </c>
      <c r="C582" s="16" t="s">
        <v>42</v>
      </c>
      <c r="D582" s="16" t="s">
        <v>178</v>
      </c>
      <c r="E582" s="17">
        <v>41</v>
      </c>
      <c r="F582" s="16" t="s">
        <v>73</v>
      </c>
      <c r="G582" s="16" t="str">
        <f t="shared" si="15"/>
        <v>Agosto</v>
      </c>
    </row>
    <row r="583" spans="1:7" x14ac:dyDescent="0.25">
      <c r="A583" s="16" t="s">
        <v>9</v>
      </c>
      <c r="B583" s="24">
        <v>46235</v>
      </c>
      <c r="C583" s="16" t="s">
        <v>33</v>
      </c>
      <c r="D583" s="16" t="s">
        <v>152</v>
      </c>
      <c r="E583" s="17">
        <v>20</v>
      </c>
      <c r="F583" s="16" t="s">
        <v>73</v>
      </c>
      <c r="G583" s="16" t="str">
        <f t="shared" si="15"/>
        <v>Agosto</v>
      </c>
    </row>
    <row r="584" spans="1:7" x14ac:dyDescent="0.25">
      <c r="A584" s="16" t="s">
        <v>9</v>
      </c>
      <c r="B584" s="24">
        <v>46235</v>
      </c>
      <c r="C584" s="16" t="s">
        <v>32</v>
      </c>
      <c r="D584" s="16" t="s">
        <v>95</v>
      </c>
      <c r="E584" s="17">
        <v>43.5</v>
      </c>
      <c r="F584" s="16" t="s">
        <v>105</v>
      </c>
      <c r="G584" s="16" t="str">
        <f t="shared" si="15"/>
        <v>Agosto</v>
      </c>
    </row>
    <row r="585" spans="1:7" x14ac:dyDescent="0.25">
      <c r="A585" s="16" t="s">
        <v>9</v>
      </c>
      <c r="B585" s="24">
        <v>46235</v>
      </c>
      <c r="C585" s="16" t="s">
        <v>42</v>
      </c>
      <c r="D585" s="16" t="s">
        <v>178</v>
      </c>
      <c r="E585" s="17">
        <v>5.9</v>
      </c>
      <c r="F585" s="16" t="s">
        <v>73</v>
      </c>
      <c r="G585" s="16" t="str">
        <f t="shared" si="15"/>
        <v>Agosto</v>
      </c>
    </row>
    <row r="586" spans="1:7" x14ac:dyDescent="0.25">
      <c r="A586" s="16" t="s">
        <v>9</v>
      </c>
      <c r="B586" s="24">
        <v>46235</v>
      </c>
      <c r="C586" s="16" t="s">
        <v>33</v>
      </c>
      <c r="D586" s="16" t="s">
        <v>227</v>
      </c>
      <c r="E586" s="17">
        <v>18.2</v>
      </c>
      <c r="F586" s="16" t="s">
        <v>73</v>
      </c>
      <c r="G586" s="16" t="str">
        <f t="shared" si="15"/>
        <v>Agosto</v>
      </c>
    </row>
    <row r="587" spans="1:7" x14ac:dyDescent="0.25">
      <c r="A587" s="16" t="s">
        <v>9</v>
      </c>
      <c r="B587" s="24">
        <v>46235</v>
      </c>
      <c r="C587" s="16" t="s">
        <v>33</v>
      </c>
      <c r="D587" s="16" t="s">
        <v>195</v>
      </c>
      <c r="E587" s="17">
        <v>9.9</v>
      </c>
      <c r="F587" s="16" t="s">
        <v>73</v>
      </c>
      <c r="G587" s="16" t="str">
        <f t="shared" si="15"/>
        <v>Agosto</v>
      </c>
    </row>
    <row r="588" spans="1:7" x14ac:dyDescent="0.25">
      <c r="A588" s="16" t="s">
        <v>9</v>
      </c>
      <c r="B588" s="24">
        <v>46235</v>
      </c>
      <c r="C588" s="16" t="s">
        <v>33</v>
      </c>
      <c r="D588" s="16" t="s">
        <v>196</v>
      </c>
      <c r="E588" s="17">
        <v>10</v>
      </c>
      <c r="F588" s="16" t="s">
        <v>70</v>
      </c>
      <c r="G588" s="16" t="str">
        <f t="shared" si="15"/>
        <v>Agosto</v>
      </c>
    </row>
    <row r="589" spans="1:7" x14ac:dyDescent="0.25">
      <c r="A589" s="16" t="s">
        <v>9</v>
      </c>
      <c r="B589" s="24">
        <v>46235</v>
      </c>
      <c r="C589" s="16" t="s">
        <v>33</v>
      </c>
      <c r="D589" s="16" t="s">
        <v>106</v>
      </c>
      <c r="E589" s="17">
        <v>12</v>
      </c>
      <c r="F589" s="16" t="s">
        <v>70</v>
      </c>
      <c r="G589" s="16" t="str">
        <f t="shared" si="15"/>
        <v>Agosto</v>
      </c>
    </row>
    <row r="590" spans="1:7" x14ac:dyDescent="0.25">
      <c r="A590" s="16" t="s">
        <v>9</v>
      </c>
      <c r="B590" s="24">
        <v>46235</v>
      </c>
      <c r="C590" s="16" t="s">
        <v>32</v>
      </c>
      <c r="D590" s="16" t="s">
        <v>117</v>
      </c>
      <c r="E590" s="17">
        <v>2.4500000000000002</v>
      </c>
      <c r="F590" s="16" t="s">
        <v>73</v>
      </c>
      <c r="G590" s="16" t="str">
        <f t="shared" si="15"/>
        <v>Agosto</v>
      </c>
    </row>
    <row r="591" spans="1:7" x14ac:dyDescent="0.25">
      <c r="A591" s="16" t="s">
        <v>9</v>
      </c>
      <c r="B591" s="24">
        <v>46235</v>
      </c>
      <c r="C591" s="16" t="s">
        <v>33</v>
      </c>
      <c r="D591" s="16" t="s">
        <v>124</v>
      </c>
      <c r="E591" s="17">
        <v>9</v>
      </c>
      <c r="F591" s="16" t="s">
        <v>70</v>
      </c>
      <c r="G591" s="16" t="str">
        <f t="shared" si="15"/>
        <v>Agosto</v>
      </c>
    </row>
    <row r="592" spans="1:7" x14ac:dyDescent="0.25">
      <c r="A592" s="16" t="s">
        <v>9</v>
      </c>
      <c r="B592" s="24">
        <v>46235</v>
      </c>
      <c r="C592" s="85" t="s">
        <v>32</v>
      </c>
      <c r="D592" s="16" t="s">
        <v>117</v>
      </c>
      <c r="E592" s="17">
        <f>16.9+18.9</f>
        <v>35.799999999999997</v>
      </c>
      <c r="F592" s="16" t="s">
        <v>180</v>
      </c>
      <c r="G592" s="16" t="str">
        <f t="shared" ref="G592:G623" si="16">TEXT(B592,"MMMM")</f>
        <v>Agosto</v>
      </c>
    </row>
    <row r="593" spans="1:7" x14ac:dyDescent="0.25">
      <c r="A593" s="16" t="s">
        <v>9</v>
      </c>
      <c r="B593" s="24">
        <v>46235</v>
      </c>
      <c r="C593" s="16" t="s">
        <v>32</v>
      </c>
      <c r="D593" s="16" t="s">
        <v>76</v>
      </c>
      <c r="E593" s="17">
        <v>11.9</v>
      </c>
      <c r="F593" s="16" t="s">
        <v>73</v>
      </c>
      <c r="G593" s="16" t="str">
        <f t="shared" si="16"/>
        <v>Agosto</v>
      </c>
    </row>
    <row r="594" spans="1:7" x14ac:dyDescent="0.25">
      <c r="A594" s="16" t="s">
        <v>9</v>
      </c>
      <c r="B594" s="24">
        <v>46235</v>
      </c>
      <c r="C594" s="16" t="s">
        <v>33</v>
      </c>
      <c r="D594" s="16" t="s">
        <v>124</v>
      </c>
      <c r="E594" s="17">
        <v>23</v>
      </c>
      <c r="F594" s="16" t="s">
        <v>70</v>
      </c>
      <c r="G594" s="16" t="str">
        <f t="shared" si="16"/>
        <v>Agosto</v>
      </c>
    </row>
    <row r="595" spans="1:7" x14ac:dyDescent="0.25">
      <c r="A595" s="16" t="s">
        <v>9</v>
      </c>
      <c r="B595" s="24">
        <v>46235</v>
      </c>
      <c r="C595" s="16" t="s">
        <v>33</v>
      </c>
      <c r="D595" s="16" t="s">
        <v>179</v>
      </c>
      <c r="E595" s="17">
        <v>27</v>
      </c>
      <c r="F595" s="16" t="s">
        <v>70</v>
      </c>
      <c r="G595" s="16" t="str">
        <f t="shared" si="16"/>
        <v>Agosto</v>
      </c>
    </row>
    <row r="596" spans="1:7" x14ac:dyDescent="0.25">
      <c r="A596" s="16" t="s">
        <v>9</v>
      </c>
      <c r="B596" s="24">
        <v>46236</v>
      </c>
      <c r="C596" s="16" t="s">
        <v>33</v>
      </c>
      <c r="D596" s="16" t="s">
        <v>106</v>
      </c>
      <c r="E596" s="17">
        <v>14.5</v>
      </c>
      <c r="F596" s="16" t="s">
        <v>70</v>
      </c>
      <c r="G596" s="16" t="str">
        <f t="shared" si="16"/>
        <v>Agosto</v>
      </c>
    </row>
    <row r="597" spans="1:7" x14ac:dyDescent="0.25">
      <c r="A597" s="16" t="s">
        <v>9</v>
      </c>
      <c r="B597" s="24">
        <v>46236</v>
      </c>
      <c r="C597" s="16" t="s">
        <v>33</v>
      </c>
      <c r="D597" s="16" t="s">
        <v>129</v>
      </c>
      <c r="E597" s="17">
        <v>35.5</v>
      </c>
      <c r="F597" s="16" t="s">
        <v>73</v>
      </c>
      <c r="G597" s="16" t="str">
        <f t="shared" si="16"/>
        <v>Agosto</v>
      </c>
    </row>
    <row r="598" spans="1:7" x14ac:dyDescent="0.25">
      <c r="A598" s="16" t="s">
        <v>9</v>
      </c>
      <c r="B598" s="24">
        <v>46236</v>
      </c>
      <c r="C598" s="16" t="s">
        <v>42</v>
      </c>
      <c r="D598" s="16" t="s">
        <v>178</v>
      </c>
      <c r="E598" s="17">
        <v>36.700000000000003</v>
      </c>
      <c r="F598" s="16" t="s">
        <v>73</v>
      </c>
      <c r="G598" s="16" t="str">
        <f t="shared" si="16"/>
        <v>Agosto</v>
      </c>
    </row>
    <row r="599" spans="1:7" x14ac:dyDescent="0.25">
      <c r="A599" s="16" t="s">
        <v>9</v>
      </c>
      <c r="B599" s="24">
        <v>46236</v>
      </c>
      <c r="C599" s="16" t="s">
        <v>42</v>
      </c>
      <c r="D599" s="16" t="s">
        <v>178</v>
      </c>
      <c r="E599" s="17">
        <v>25</v>
      </c>
      <c r="F599" s="16" t="s">
        <v>70</v>
      </c>
      <c r="G599" s="16" t="str">
        <f t="shared" si="16"/>
        <v>Agosto</v>
      </c>
    </row>
    <row r="600" spans="1:7" x14ac:dyDescent="0.25">
      <c r="A600" s="16" t="s">
        <v>9</v>
      </c>
      <c r="B600" s="24">
        <v>46236</v>
      </c>
      <c r="C600" s="16" t="s">
        <v>33</v>
      </c>
      <c r="D600" s="16" t="s">
        <v>227</v>
      </c>
      <c r="E600" s="17">
        <v>7.5</v>
      </c>
      <c r="F600" s="16" t="s">
        <v>70</v>
      </c>
      <c r="G600" s="16" t="str">
        <f t="shared" si="16"/>
        <v>Agosto</v>
      </c>
    </row>
    <row r="601" spans="1:7" x14ac:dyDescent="0.25">
      <c r="A601" s="16" t="s">
        <v>9</v>
      </c>
      <c r="B601" s="24">
        <v>46236</v>
      </c>
      <c r="C601" s="16" t="s">
        <v>33</v>
      </c>
      <c r="D601" s="16" t="s">
        <v>106</v>
      </c>
      <c r="E601" s="17">
        <v>7</v>
      </c>
      <c r="F601" s="16" t="s">
        <v>70</v>
      </c>
      <c r="G601" s="16" t="str">
        <f t="shared" si="16"/>
        <v>Agosto</v>
      </c>
    </row>
    <row r="602" spans="1:7" x14ac:dyDescent="0.25">
      <c r="A602" s="16" t="s">
        <v>9</v>
      </c>
      <c r="B602" s="24">
        <v>46237</v>
      </c>
      <c r="C602" s="16" t="s">
        <v>33</v>
      </c>
      <c r="D602" s="16" t="s">
        <v>145</v>
      </c>
      <c r="E602" s="17">
        <v>6</v>
      </c>
      <c r="F602" s="16" t="s">
        <v>70</v>
      </c>
      <c r="G602" s="16" t="str">
        <f t="shared" si="16"/>
        <v>Agosto</v>
      </c>
    </row>
    <row r="603" spans="1:7" x14ac:dyDescent="0.25">
      <c r="A603" s="16" t="s">
        <v>9</v>
      </c>
      <c r="B603" s="24">
        <v>46237</v>
      </c>
      <c r="C603" s="16" t="s">
        <v>42</v>
      </c>
      <c r="D603" s="16" t="s">
        <v>178</v>
      </c>
      <c r="E603" s="17">
        <v>43</v>
      </c>
      <c r="F603" s="16" t="s">
        <v>73</v>
      </c>
      <c r="G603" s="16" t="str">
        <f t="shared" si="16"/>
        <v>Agosto</v>
      </c>
    </row>
    <row r="604" spans="1:7" x14ac:dyDescent="0.25">
      <c r="A604" s="16" t="s">
        <v>9</v>
      </c>
      <c r="B604" s="24">
        <v>46237</v>
      </c>
      <c r="C604" s="16" t="s">
        <v>33</v>
      </c>
      <c r="D604" s="16" t="s">
        <v>106</v>
      </c>
      <c r="E604" s="17">
        <v>25.5</v>
      </c>
      <c r="F604" s="16" t="s">
        <v>70</v>
      </c>
      <c r="G604" s="16" t="str">
        <f t="shared" si="16"/>
        <v>Agosto</v>
      </c>
    </row>
    <row r="605" spans="1:7" x14ac:dyDescent="0.25">
      <c r="A605" s="16" t="s">
        <v>9</v>
      </c>
      <c r="B605" s="24">
        <v>46238</v>
      </c>
      <c r="C605" s="16" t="s">
        <v>33</v>
      </c>
      <c r="D605" s="16" t="s">
        <v>106</v>
      </c>
      <c r="E605" s="17">
        <v>4</v>
      </c>
      <c r="F605" s="16" t="s">
        <v>70</v>
      </c>
      <c r="G605" s="16" t="str">
        <f t="shared" si="16"/>
        <v>Agosto</v>
      </c>
    </row>
    <row r="606" spans="1:7" x14ac:dyDescent="0.25">
      <c r="A606" s="16" t="s">
        <v>9</v>
      </c>
      <c r="B606" s="24">
        <v>46238</v>
      </c>
      <c r="C606" s="16" t="s">
        <v>33</v>
      </c>
      <c r="D606" s="16" t="s">
        <v>109</v>
      </c>
      <c r="E606" s="17">
        <v>18</v>
      </c>
      <c r="F606" s="16" t="s">
        <v>70</v>
      </c>
      <c r="G606" s="16" t="str">
        <f t="shared" si="16"/>
        <v>Agosto</v>
      </c>
    </row>
    <row r="607" spans="1:7" x14ac:dyDescent="0.25">
      <c r="A607" s="16" t="s">
        <v>9</v>
      </c>
      <c r="B607" s="24">
        <v>46239</v>
      </c>
      <c r="C607" s="16" t="s">
        <v>33</v>
      </c>
      <c r="D607" s="16" t="s">
        <v>106</v>
      </c>
      <c r="E607" s="17">
        <v>19.5</v>
      </c>
      <c r="F607" s="16" t="s">
        <v>70</v>
      </c>
      <c r="G607" s="16" t="str">
        <f t="shared" si="16"/>
        <v>Agosto</v>
      </c>
    </row>
    <row r="608" spans="1:7" x14ac:dyDescent="0.25">
      <c r="A608" s="16" t="s">
        <v>9</v>
      </c>
      <c r="B608" s="24">
        <v>46239</v>
      </c>
      <c r="C608" s="16" t="s">
        <v>42</v>
      </c>
      <c r="D608" s="16" t="s">
        <v>178</v>
      </c>
      <c r="E608" s="17">
        <v>15</v>
      </c>
      <c r="F608" s="16" t="s">
        <v>70</v>
      </c>
      <c r="G608" s="16" t="str">
        <f t="shared" si="16"/>
        <v>Agosto</v>
      </c>
    </row>
    <row r="609" spans="1:7" x14ac:dyDescent="0.25">
      <c r="A609" s="16" t="s">
        <v>9</v>
      </c>
      <c r="B609" s="24">
        <v>46239</v>
      </c>
      <c r="C609" s="16" t="s">
        <v>42</v>
      </c>
      <c r="D609" s="16" t="s">
        <v>178</v>
      </c>
      <c r="E609" s="17">
        <v>57.3</v>
      </c>
      <c r="F609" s="16" t="s">
        <v>180</v>
      </c>
      <c r="G609" s="16" t="str">
        <f t="shared" si="16"/>
        <v>Agosto</v>
      </c>
    </row>
    <row r="610" spans="1:7" x14ac:dyDescent="0.25">
      <c r="A610" s="16" t="s">
        <v>9</v>
      </c>
      <c r="B610" s="24">
        <v>46240</v>
      </c>
      <c r="C610" s="16" t="s">
        <v>33</v>
      </c>
      <c r="D610" s="16" t="s">
        <v>106</v>
      </c>
      <c r="E610" s="17">
        <v>12</v>
      </c>
      <c r="F610" s="16" t="s">
        <v>70</v>
      </c>
      <c r="G610" s="16" t="str">
        <f t="shared" si="16"/>
        <v>Agosto</v>
      </c>
    </row>
    <row r="611" spans="1:7" x14ac:dyDescent="0.25">
      <c r="A611" s="16" t="s">
        <v>9</v>
      </c>
      <c r="B611" s="24">
        <v>46240</v>
      </c>
      <c r="C611" s="16" t="s">
        <v>33</v>
      </c>
      <c r="D611" s="16" t="s">
        <v>145</v>
      </c>
      <c r="E611" s="17">
        <v>6</v>
      </c>
      <c r="F611" s="16" t="s">
        <v>70</v>
      </c>
      <c r="G611" s="16" t="str">
        <f t="shared" si="16"/>
        <v>Agosto</v>
      </c>
    </row>
    <row r="612" spans="1:7" x14ac:dyDescent="0.25">
      <c r="A612" s="16" t="s">
        <v>9</v>
      </c>
      <c r="B612" s="24">
        <v>46241</v>
      </c>
      <c r="C612" s="16" t="s">
        <v>32</v>
      </c>
      <c r="D612" s="16" t="s">
        <v>117</v>
      </c>
      <c r="E612" s="17">
        <v>16.899999999999999</v>
      </c>
      <c r="F612" s="16" t="s">
        <v>180</v>
      </c>
      <c r="G612" s="16" t="str">
        <f t="shared" si="16"/>
        <v>Agosto</v>
      </c>
    </row>
    <row r="613" spans="1:7" x14ac:dyDescent="0.25">
      <c r="A613" s="16" t="s">
        <v>9</v>
      </c>
      <c r="B613" s="24">
        <v>46241</v>
      </c>
      <c r="C613" s="16" t="s">
        <v>33</v>
      </c>
      <c r="D613" s="16" t="s">
        <v>124</v>
      </c>
      <c r="E613" s="17">
        <v>11</v>
      </c>
      <c r="F613" s="16" t="s">
        <v>70</v>
      </c>
      <c r="G613" s="16" t="str">
        <f t="shared" si="16"/>
        <v>Agosto</v>
      </c>
    </row>
    <row r="614" spans="1:7" x14ac:dyDescent="0.25">
      <c r="A614" s="16" t="s">
        <v>9</v>
      </c>
      <c r="B614" s="24">
        <v>46242</v>
      </c>
      <c r="C614" s="16" t="s">
        <v>33</v>
      </c>
      <c r="D614" s="16" t="s">
        <v>109</v>
      </c>
      <c r="E614" s="17">
        <v>10</v>
      </c>
      <c r="F614" s="16" t="s">
        <v>70</v>
      </c>
      <c r="G614" s="16" t="str">
        <f t="shared" si="16"/>
        <v>Agosto</v>
      </c>
    </row>
    <row r="615" spans="1:7" x14ac:dyDescent="0.25">
      <c r="A615" s="16" t="s">
        <v>9</v>
      </c>
      <c r="B615" s="24">
        <v>46242</v>
      </c>
      <c r="C615" s="16" t="s">
        <v>33</v>
      </c>
      <c r="D615" s="16" t="s">
        <v>124</v>
      </c>
      <c r="E615" s="17">
        <v>16.5</v>
      </c>
      <c r="F615" s="16" t="s">
        <v>70</v>
      </c>
      <c r="G615" s="16" t="str">
        <f t="shared" si="16"/>
        <v>Agosto</v>
      </c>
    </row>
    <row r="616" spans="1:7" x14ac:dyDescent="0.25">
      <c r="A616" s="16" t="s">
        <v>9</v>
      </c>
      <c r="B616" s="24">
        <v>46243</v>
      </c>
      <c r="C616" s="16" t="s">
        <v>42</v>
      </c>
      <c r="D616" s="16" t="s">
        <v>178</v>
      </c>
      <c r="E616" s="17">
        <v>40</v>
      </c>
      <c r="F616" s="16" t="s">
        <v>70</v>
      </c>
      <c r="G616" s="16" t="str">
        <f t="shared" si="16"/>
        <v>Agosto</v>
      </c>
    </row>
    <row r="617" spans="1:7" x14ac:dyDescent="0.25">
      <c r="A617" s="16" t="s">
        <v>9</v>
      </c>
      <c r="B617" s="24">
        <v>46243</v>
      </c>
      <c r="C617" s="16" t="s">
        <v>33</v>
      </c>
      <c r="D617" s="16" t="s">
        <v>106</v>
      </c>
      <c r="E617" s="17">
        <v>23</v>
      </c>
      <c r="F617" s="16" t="s">
        <v>70</v>
      </c>
      <c r="G617" s="16" t="str">
        <f t="shared" si="16"/>
        <v>Agosto</v>
      </c>
    </row>
    <row r="618" spans="1:7" x14ac:dyDescent="0.25">
      <c r="A618" s="16" t="s">
        <v>9</v>
      </c>
      <c r="B618" s="24">
        <v>46243</v>
      </c>
      <c r="C618" s="16" t="s">
        <v>42</v>
      </c>
      <c r="D618" s="16" t="s">
        <v>178</v>
      </c>
      <c r="E618" s="17">
        <v>19</v>
      </c>
      <c r="F618" s="16" t="s">
        <v>73</v>
      </c>
      <c r="G618" s="16" t="str">
        <f t="shared" si="16"/>
        <v>Agosto</v>
      </c>
    </row>
    <row r="619" spans="1:7" x14ac:dyDescent="0.25">
      <c r="A619" s="16" t="s">
        <v>9</v>
      </c>
      <c r="B619" s="24">
        <v>46243</v>
      </c>
      <c r="C619" s="16" t="s">
        <v>33</v>
      </c>
      <c r="D619" s="16" t="s">
        <v>108</v>
      </c>
      <c r="E619" s="17">
        <v>64.7</v>
      </c>
      <c r="F619" s="16" t="s">
        <v>180</v>
      </c>
      <c r="G619" s="16" t="str">
        <f t="shared" si="16"/>
        <v>Agosto</v>
      </c>
    </row>
    <row r="620" spans="1:7" x14ac:dyDescent="0.25">
      <c r="A620" s="16" t="s">
        <v>9</v>
      </c>
      <c r="B620" s="24">
        <v>46243</v>
      </c>
      <c r="C620" s="16" t="s">
        <v>33</v>
      </c>
      <c r="D620" s="16" t="s">
        <v>112</v>
      </c>
      <c r="E620" s="17">
        <v>173.2</v>
      </c>
      <c r="F620" s="16" t="s">
        <v>180</v>
      </c>
      <c r="G620" s="16" t="str">
        <f t="shared" si="16"/>
        <v>Agosto</v>
      </c>
    </row>
    <row r="621" spans="1:7" x14ac:dyDescent="0.25">
      <c r="A621" s="16" t="s">
        <v>5</v>
      </c>
      <c r="B621" s="24">
        <v>46243</v>
      </c>
      <c r="C621" s="16" t="s">
        <v>43</v>
      </c>
      <c r="D621" s="16" t="s">
        <v>116</v>
      </c>
      <c r="E621" s="17">
        <v>70</v>
      </c>
      <c r="F621" s="16" t="s">
        <v>70</v>
      </c>
      <c r="G621" s="16" t="str">
        <f t="shared" si="16"/>
        <v>Agosto</v>
      </c>
    </row>
    <row r="622" spans="1:7" x14ac:dyDescent="0.25">
      <c r="A622" s="16" t="s">
        <v>9</v>
      </c>
      <c r="B622" s="24">
        <v>46243</v>
      </c>
      <c r="C622" s="16" t="s">
        <v>32</v>
      </c>
      <c r="D622" s="16" t="s">
        <v>117</v>
      </c>
      <c r="E622" s="17">
        <v>21.31</v>
      </c>
      <c r="F622" s="16" t="s">
        <v>105</v>
      </c>
      <c r="G622" s="16" t="str">
        <f t="shared" si="16"/>
        <v>Agosto</v>
      </c>
    </row>
    <row r="623" spans="1:7" x14ac:dyDescent="0.25">
      <c r="A623" s="16" t="s">
        <v>9</v>
      </c>
      <c r="B623" s="24">
        <v>46244</v>
      </c>
      <c r="C623" s="16" t="s">
        <v>33</v>
      </c>
      <c r="D623" s="16" t="s">
        <v>106</v>
      </c>
      <c r="E623" s="17">
        <v>21</v>
      </c>
      <c r="F623" s="16" t="s">
        <v>70</v>
      </c>
      <c r="G623" s="16" t="str">
        <f t="shared" si="16"/>
        <v>Agosto</v>
      </c>
    </row>
    <row r="624" spans="1:7" x14ac:dyDescent="0.25">
      <c r="A624" s="16" t="s">
        <v>9</v>
      </c>
      <c r="B624" s="24">
        <v>46244</v>
      </c>
      <c r="C624" s="16" t="s">
        <v>42</v>
      </c>
      <c r="D624" s="16" t="s">
        <v>178</v>
      </c>
      <c r="E624" s="17">
        <v>28.5</v>
      </c>
      <c r="F624" s="16" t="s">
        <v>70</v>
      </c>
      <c r="G624" s="16" t="str">
        <f t="shared" ref="G624:G655" si="17">TEXT(B624,"MMMM")</f>
        <v>Agosto</v>
      </c>
    </row>
    <row r="625" spans="1:7" x14ac:dyDescent="0.25">
      <c r="A625" s="16" t="s">
        <v>9</v>
      </c>
      <c r="B625" s="24">
        <v>46245</v>
      </c>
      <c r="C625" s="16" t="s">
        <v>32</v>
      </c>
      <c r="D625" s="16" t="s">
        <v>94</v>
      </c>
      <c r="E625" s="17">
        <v>98</v>
      </c>
      <c r="F625" s="16" t="s">
        <v>105</v>
      </c>
      <c r="G625" s="16" t="str">
        <f t="shared" si="17"/>
        <v>Agosto</v>
      </c>
    </row>
    <row r="626" spans="1:7" x14ac:dyDescent="0.25">
      <c r="A626" s="16" t="s">
        <v>9</v>
      </c>
      <c r="B626" s="24">
        <v>46245</v>
      </c>
      <c r="C626" s="16" t="s">
        <v>32</v>
      </c>
      <c r="D626" s="16" t="s">
        <v>99</v>
      </c>
      <c r="E626" s="17">
        <v>39.9</v>
      </c>
      <c r="F626" s="16" t="s">
        <v>105</v>
      </c>
      <c r="G626" s="16" t="str">
        <f t="shared" si="17"/>
        <v>Agosto</v>
      </c>
    </row>
    <row r="627" spans="1:7" x14ac:dyDescent="0.25">
      <c r="A627" s="16" t="s">
        <v>5</v>
      </c>
      <c r="B627" s="24">
        <v>46245</v>
      </c>
      <c r="C627" s="16" t="s">
        <v>43</v>
      </c>
      <c r="D627" s="16" t="s">
        <v>179</v>
      </c>
      <c r="E627" s="17">
        <v>50</v>
      </c>
      <c r="F627" s="16" t="s">
        <v>70</v>
      </c>
      <c r="G627" s="16" t="str">
        <f t="shared" si="17"/>
        <v>Agosto</v>
      </c>
    </row>
    <row r="628" spans="1:7" x14ac:dyDescent="0.25">
      <c r="A628" s="16" t="s">
        <v>9</v>
      </c>
      <c r="B628" s="24">
        <v>46245</v>
      </c>
      <c r="C628" s="16" t="s">
        <v>33</v>
      </c>
      <c r="D628" s="16" t="s">
        <v>109</v>
      </c>
      <c r="E628" s="17">
        <v>12</v>
      </c>
      <c r="F628" s="16" t="s">
        <v>70</v>
      </c>
      <c r="G628" s="16" t="str">
        <f t="shared" si="17"/>
        <v>Agosto</v>
      </c>
    </row>
    <row r="629" spans="1:7" x14ac:dyDescent="0.25">
      <c r="A629" s="16" t="s">
        <v>9</v>
      </c>
      <c r="B629" s="24">
        <v>46246</v>
      </c>
      <c r="C629" s="16" t="s">
        <v>42</v>
      </c>
      <c r="D629" s="16" t="s">
        <v>178</v>
      </c>
      <c r="E629" s="17">
        <v>13</v>
      </c>
      <c r="F629" s="16" t="s">
        <v>70</v>
      </c>
      <c r="G629" s="16" t="str">
        <f t="shared" si="17"/>
        <v>Agosto</v>
      </c>
    </row>
    <row r="630" spans="1:7" x14ac:dyDescent="0.25">
      <c r="A630" s="16" t="s">
        <v>9</v>
      </c>
      <c r="B630" s="24">
        <v>46246</v>
      </c>
      <c r="C630" s="16" t="s">
        <v>33</v>
      </c>
      <c r="D630" s="16" t="s">
        <v>227</v>
      </c>
      <c r="E630" s="17">
        <v>9.9</v>
      </c>
      <c r="F630" s="16" t="s">
        <v>73</v>
      </c>
      <c r="G630" s="16" t="str">
        <f t="shared" si="17"/>
        <v>Agosto</v>
      </c>
    </row>
    <row r="631" spans="1:7" x14ac:dyDescent="0.25">
      <c r="A631" s="16" t="s">
        <v>9</v>
      </c>
      <c r="B631" s="24">
        <v>46246</v>
      </c>
      <c r="C631" s="16" t="s">
        <v>42</v>
      </c>
      <c r="D631" s="16" t="s">
        <v>178</v>
      </c>
      <c r="E631" s="17">
        <v>10.9</v>
      </c>
      <c r="F631" s="16" t="s">
        <v>73</v>
      </c>
      <c r="G631" s="16" t="str">
        <f t="shared" si="17"/>
        <v>Agosto</v>
      </c>
    </row>
    <row r="632" spans="1:7" x14ac:dyDescent="0.25">
      <c r="A632" s="16" t="s">
        <v>9</v>
      </c>
      <c r="B632" s="24">
        <v>46246</v>
      </c>
      <c r="C632" s="16" t="s">
        <v>42</v>
      </c>
      <c r="D632" s="16" t="s">
        <v>178</v>
      </c>
      <c r="E632" s="17">
        <v>75.900000000000006</v>
      </c>
      <c r="F632" s="16" t="s">
        <v>73</v>
      </c>
      <c r="G632" s="16" t="str">
        <f t="shared" si="17"/>
        <v>Agosto</v>
      </c>
    </row>
    <row r="633" spans="1:7" x14ac:dyDescent="0.25">
      <c r="A633" s="16" t="s">
        <v>9</v>
      </c>
      <c r="B633" s="24">
        <v>46246</v>
      </c>
      <c r="C633" s="16" t="s">
        <v>33</v>
      </c>
      <c r="D633" s="16" t="s">
        <v>106</v>
      </c>
      <c r="E633" s="17">
        <v>5</v>
      </c>
      <c r="F633" s="16" t="s">
        <v>70</v>
      </c>
      <c r="G633" s="16" t="str">
        <f t="shared" si="17"/>
        <v>Agosto</v>
      </c>
    </row>
    <row r="634" spans="1:7" x14ac:dyDescent="0.25">
      <c r="A634" s="16" t="s">
        <v>9</v>
      </c>
      <c r="B634" s="24">
        <v>46246</v>
      </c>
      <c r="C634" s="16" t="s">
        <v>33</v>
      </c>
      <c r="D634" s="16" t="s">
        <v>106</v>
      </c>
      <c r="E634" s="17">
        <v>8.5</v>
      </c>
      <c r="F634" s="16" t="s">
        <v>70</v>
      </c>
      <c r="G634" s="16" t="str">
        <f t="shared" si="17"/>
        <v>Agosto</v>
      </c>
    </row>
    <row r="635" spans="1:7" x14ac:dyDescent="0.25">
      <c r="A635" s="16" t="s">
        <v>9</v>
      </c>
      <c r="B635" s="24">
        <v>46246</v>
      </c>
      <c r="C635" s="16" t="s">
        <v>33</v>
      </c>
      <c r="D635" s="16" t="s">
        <v>109</v>
      </c>
      <c r="E635" s="17">
        <v>10</v>
      </c>
      <c r="F635" s="16" t="s">
        <v>70</v>
      </c>
      <c r="G635" s="16" t="str">
        <f t="shared" si="17"/>
        <v>Agosto</v>
      </c>
    </row>
    <row r="636" spans="1:7" x14ac:dyDescent="0.25">
      <c r="A636" s="16" t="s">
        <v>9</v>
      </c>
      <c r="B636" s="24">
        <v>46246</v>
      </c>
      <c r="C636" s="16" t="s">
        <v>33</v>
      </c>
      <c r="D636" s="16" t="s">
        <v>106</v>
      </c>
      <c r="E636" s="17">
        <v>7</v>
      </c>
      <c r="F636" s="16" t="s">
        <v>70</v>
      </c>
      <c r="G636" s="16" t="str">
        <f t="shared" si="17"/>
        <v>Agosto</v>
      </c>
    </row>
    <row r="637" spans="1:7" x14ac:dyDescent="0.25">
      <c r="A637" s="16" t="s">
        <v>9</v>
      </c>
      <c r="B637" s="24">
        <v>46247</v>
      </c>
      <c r="C637" s="16" t="s">
        <v>33</v>
      </c>
      <c r="D637" s="16" t="s">
        <v>106</v>
      </c>
      <c r="E637" s="17">
        <v>5</v>
      </c>
      <c r="F637" s="16" t="s">
        <v>70</v>
      </c>
      <c r="G637" s="16" t="str">
        <f t="shared" si="17"/>
        <v>Agosto</v>
      </c>
    </row>
    <row r="638" spans="1:7" x14ac:dyDescent="0.25">
      <c r="A638" s="16" t="s">
        <v>9</v>
      </c>
      <c r="B638" s="24">
        <v>46247</v>
      </c>
      <c r="C638" s="16" t="s">
        <v>42</v>
      </c>
      <c r="D638" s="16" t="s">
        <v>178</v>
      </c>
      <c r="E638" s="17">
        <v>2.4900000000000002</v>
      </c>
      <c r="F638" s="16" t="s">
        <v>73</v>
      </c>
      <c r="G638" s="16" t="str">
        <f t="shared" si="17"/>
        <v>Agosto</v>
      </c>
    </row>
    <row r="639" spans="1:7" x14ac:dyDescent="0.25">
      <c r="A639" s="16" t="s">
        <v>9</v>
      </c>
      <c r="B639" s="24">
        <v>46247</v>
      </c>
      <c r="C639" s="16" t="s">
        <v>33</v>
      </c>
      <c r="D639" s="16" t="s">
        <v>106</v>
      </c>
      <c r="E639" s="17">
        <v>19</v>
      </c>
      <c r="F639" s="16" t="s">
        <v>70</v>
      </c>
      <c r="G639" s="16" t="str">
        <f t="shared" si="17"/>
        <v>Agosto</v>
      </c>
    </row>
    <row r="640" spans="1:7" x14ac:dyDescent="0.25">
      <c r="A640" s="16" t="s">
        <v>9</v>
      </c>
      <c r="B640" s="24">
        <v>46247</v>
      </c>
      <c r="C640" s="16" t="s">
        <v>33</v>
      </c>
      <c r="D640" s="16" t="s">
        <v>106</v>
      </c>
      <c r="E640" s="17">
        <v>8</v>
      </c>
      <c r="F640" s="16" t="s">
        <v>70</v>
      </c>
      <c r="G640" s="16" t="str">
        <f t="shared" si="17"/>
        <v>Agosto</v>
      </c>
    </row>
    <row r="641" spans="1:7" x14ac:dyDescent="0.25">
      <c r="A641" s="16" t="s">
        <v>9</v>
      </c>
      <c r="B641" s="24">
        <v>46247</v>
      </c>
      <c r="C641" s="16" t="s">
        <v>33</v>
      </c>
      <c r="D641" s="16" t="s">
        <v>227</v>
      </c>
      <c r="E641" s="17">
        <v>14</v>
      </c>
      <c r="F641" s="16" t="s">
        <v>105</v>
      </c>
      <c r="G641" s="16" t="str">
        <f t="shared" si="17"/>
        <v>Agosto</v>
      </c>
    </row>
    <row r="642" spans="1:7" x14ac:dyDescent="0.25">
      <c r="A642" s="16" t="s">
        <v>9</v>
      </c>
      <c r="B642" s="24">
        <v>46247</v>
      </c>
      <c r="C642" s="16" t="s">
        <v>42</v>
      </c>
      <c r="D642" s="16" t="s">
        <v>178</v>
      </c>
      <c r="E642" s="17">
        <v>118</v>
      </c>
      <c r="F642" s="16" t="s">
        <v>73</v>
      </c>
      <c r="G642" s="16" t="str">
        <f t="shared" si="17"/>
        <v>Agosto</v>
      </c>
    </row>
    <row r="643" spans="1:7" x14ac:dyDescent="0.25">
      <c r="A643" s="16" t="s">
        <v>9</v>
      </c>
      <c r="B643" s="24">
        <v>46248</v>
      </c>
      <c r="C643" s="16" t="s">
        <v>33</v>
      </c>
      <c r="D643" s="16" t="s">
        <v>106</v>
      </c>
      <c r="E643" s="17">
        <v>9.5</v>
      </c>
      <c r="F643" s="16" t="s">
        <v>70</v>
      </c>
      <c r="G643" s="16" t="str">
        <f t="shared" si="17"/>
        <v>Agosto</v>
      </c>
    </row>
    <row r="644" spans="1:7" x14ac:dyDescent="0.25">
      <c r="A644" s="16" t="s">
        <v>9</v>
      </c>
      <c r="B644" s="24">
        <v>46248</v>
      </c>
      <c r="C644" s="16" t="s">
        <v>33</v>
      </c>
      <c r="D644" s="16" t="s">
        <v>124</v>
      </c>
      <c r="E644" s="17">
        <v>11</v>
      </c>
      <c r="F644" s="16" t="s">
        <v>70</v>
      </c>
      <c r="G644" s="16" t="str">
        <f t="shared" si="17"/>
        <v>Agosto</v>
      </c>
    </row>
    <row r="645" spans="1:7" x14ac:dyDescent="0.25">
      <c r="A645" s="16" t="s">
        <v>9</v>
      </c>
      <c r="B645" s="24">
        <v>46249</v>
      </c>
      <c r="C645" s="16" t="s">
        <v>63</v>
      </c>
      <c r="D645" s="16" t="s">
        <v>184</v>
      </c>
      <c r="E645" s="17">
        <v>143.16</v>
      </c>
      <c r="F645" s="16" t="s">
        <v>70</v>
      </c>
      <c r="G645" s="16" t="str">
        <f t="shared" si="17"/>
        <v>Agosto</v>
      </c>
    </row>
    <row r="646" spans="1:7" x14ac:dyDescent="0.25">
      <c r="A646" s="16" t="s">
        <v>9</v>
      </c>
      <c r="B646" s="24">
        <v>46249</v>
      </c>
      <c r="C646" s="16" t="s">
        <v>33</v>
      </c>
      <c r="D646" s="16" t="s">
        <v>227</v>
      </c>
      <c r="E646" s="17">
        <v>12.9</v>
      </c>
      <c r="F646" s="16" t="s">
        <v>180</v>
      </c>
      <c r="G646" s="16" t="str">
        <f t="shared" si="17"/>
        <v>Agosto</v>
      </c>
    </row>
    <row r="647" spans="1:7" x14ac:dyDescent="0.25">
      <c r="A647" s="16" t="s">
        <v>9</v>
      </c>
      <c r="B647" s="24">
        <v>46249</v>
      </c>
      <c r="C647" s="16" t="s">
        <v>33</v>
      </c>
      <c r="D647" s="16" t="s">
        <v>109</v>
      </c>
      <c r="E647" s="17">
        <v>25</v>
      </c>
      <c r="F647" s="16" t="s">
        <v>180</v>
      </c>
      <c r="G647" s="16" t="str">
        <f t="shared" si="17"/>
        <v>Agosto</v>
      </c>
    </row>
    <row r="648" spans="1:7" x14ac:dyDescent="0.25">
      <c r="A648" s="16" t="s">
        <v>9</v>
      </c>
      <c r="B648" s="24">
        <v>46249</v>
      </c>
      <c r="C648" s="16" t="s">
        <v>33</v>
      </c>
      <c r="D648" s="16" t="s">
        <v>106</v>
      </c>
      <c r="E648" s="17">
        <v>15.5</v>
      </c>
      <c r="F648" s="16" t="s">
        <v>70</v>
      </c>
      <c r="G648" s="16" t="str">
        <f t="shared" si="17"/>
        <v>Agosto</v>
      </c>
    </row>
    <row r="649" spans="1:7" x14ac:dyDescent="0.25">
      <c r="A649" s="16" t="s">
        <v>9</v>
      </c>
      <c r="B649" s="24">
        <v>46249</v>
      </c>
      <c r="C649" s="16" t="s">
        <v>33</v>
      </c>
      <c r="D649" s="16" t="s">
        <v>118</v>
      </c>
      <c r="E649" s="17">
        <v>20</v>
      </c>
      <c r="F649" s="16" t="s">
        <v>70</v>
      </c>
      <c r="G649" s="16" t="str">
        <f t="shared" si="17"/>
        <v>Agosto</v>
      </c>
    </row>
    <row r="650" spans="1:7" x14ac:dyDescent="0.25">
      <c r="A650" s="16" t="s">
        <v>9</v>
      </c>
      <c r="B650" s="24">
        <v>46250</v>
      </c>
      <c r="C650" s="16" t="s">
        <v>33</v>
      </c>
      <c r="D650" s="16" t="s">
        <v>109</v>
      </c>
      <c r="E650" s="17">
        <v>10</v>
      </c>
      <c r="F650" s="16" t="s">
        <v>70</v>
      </c>
      <c r="G650" s="16" t="str">
        <f t="shared" si="17"/>
        <v>Agosto</v>
      </c>
    </row>
    <row r="651" spans="1:7" x14ac:dyDescent="0.25">
      <c r="A651" s="16" t="s">
        <v>9</v>
      </c>
      <c r="B651" s="24">
        <v>46251</v>
      </c>
      <c r="C651" s="16" t="s">
        <v>33</v>
      </c>
      <c r="D651" s="16" t="s">
        <v>129</v>
      </c>
      <c r="E651" s="17">
        <v>7.3</v>
      </c>
      <c r="F651" s="16" t="s">
        <v>70</v>
      </c>
      <c r="G651" s="16" t="str">
        <f t="shared" si="17"/>
        <v>Agosto</v>
      </c>
    </row>
    <row r="652" spans="1:7" x14ac:dyDescent="0.25">
      <c r="A652" s="16" t="s">
        <v>9</v>
      </c>
      <c r="B652" s="24">
        <v>46251</v>
      </c>
      <c r="C652" s="16" t="s">
        <v>33</v>
      </c>
      <c r="D652" s="16" t="s">
        <v>227</v>
      </c>
      <c r="E652" s="17">
        <v>1.5</v>
      </c>
      <c r="F652" s="16" t="s">
        <v>70</v>
      </c>
      <c r="G652" s="16" t="str">
        <f t="shared" si="17"/>
        <v>Agosto</v>
      </c>
    </row>
    <row r="653" spans="1:7" x14ac:dyDescent="0.25">
      <c r="A653" s="16" t="s">
        <v>9</v>
      </c>
      <c r="B653" s="24">
        <v>46252</v>
      </c>
      <c r="C653" s="16" t="s">
        <v>33</v>
      </c>
      <c r="D653" s="16" t="s">
        <v>109</v>
      </c>
      <c r="E653" s="17">
        <v>10</v>
      </c>
      <c r="F653" s="16" t="s">
        <v>70</v>
      </c>
      <c r="G653" s="16" t="str">
        <f t="shared" si="17"/>
        <v>Agosto</v>
      </c>
    </row>
    <row r="654" spans="1:7" x14ac:dyDescent="0.25">
      <c r="A654" s="16" t="s">
        <v>9</v>
      </c>
      <c r="B654" s="24">
        <v>46253</v>
      </c>
      <c r="C654" s="16" t="s">
        <v>33</v>
      </c>
      <c r="D654" s="16" t="s">
        <v>109</v>
      </c>
      <c r="E654" s="17">
        <v>10</v>
      </c>
      <c r="F654" s="16" t="s">
        <v>70</v>
      </c>
      <c r="G654" s="16" t="str">
        <f t="shared" si="17"/>
        <v>Agosto</v>
      </c>
    </row>
    <row r="655" spans="1:7" x14ac:dyDescent="0.25">
      <c r="A655" s="16" t="s">
        <v>9</v>
      </c>
      <c r="B655" s="24">
        <v>46254</v>
      </c>
      <c r="C655" s="16" t="s">
        <v>33</v>
      </c>
      <c r="D655" s="16" t="s">
        <v>227</v>
      </c>
      <c r="E655" s="17">
        <v>12.9</v>
      </c>
      <c r="F655" s="16" t="s">
        <v>180</v>
      </c>
      <c r="G655" s="16" t="str">
        <f t="shared" si="17"/>
        <v>Agosto</v>
      </c>
    </row>
    <row r="656" spans="1:7" x14ac:dyDescent="0.25">
      <c r="A656" s="16" t="s">
        <v>9</v>
      </c>
      <c r="B656" s="24">
        <v>46255</v>
      </c>
      <c r="C656" s="16" t="s">
        <v>33</v>
      </c>
      <c r="D656" s="16" t="s">
        <v>109</v>
      </c>
      <c r="E656" s="17">
        <v>10</v>
      </c>
      <c r="F656" s="16" t="s">
        <v>70</v>
      </c>
      <c r="G656" s="16" t="str">
        <f t="shared" ref="G656:G662" si="18">TEXT(B656,"MMMM")</f>
        <v>Agosto</v>
      </c>
    </row>
    <row r="657" spans="1:17" x14ac:dyDescent="0.25">
      <c r="A657" s="16" t="s">
        <v>9</v>
      </c>
      <c r="B657" s="24">
        <v>46255</v>
      </c>
      <c r="C657" s="16" t="s">
        <v>33</v>
      </c>
      <c r="D657" s="16" t="s">
        <v>124</v>
      </c>
      <c r="E657" s="17">
        <v>9</v>
      </c>
      <c r="F657" s="16" t="s">
        <v>70</v>
      </c>
      <c r="G657" s="16" t="str">
        <f t="shared" si="18"/>
        <v>Agosto</v>
      </c>
    </row>
    <row r="658" spans="1:17" x14ac:dyDescent="0.25">
      <c r="A658" s="16" t="s">
        <v>9</v>
      </c>
      <c r="B658" s="24">
        <v>46256</v>
      </c>
      <c r="C658" s="16" t="s">
        <v>33</v>
      </c>
      <c r="D658" s="16" t="s">
        <v>124</v>
      </c>
      <c r="E658" s="17">
        <v>13</v>
      </c>
      <c r="F658" s="16" t="s">
        <v>70</v>
      </c>
      <c r="G658" s="16" t="str">
        <f t="shared" si="18"/>
        <v>Agosto</v>
      </c>
    </row>
    <row r="659" spans="1:17" x14ac:dyDescent="0.25">
      <c r="A659" s="16" t="s">
        <v>9</v>
      </c>
      <c r="B659" s="24">
        <v>46256</v>
      </c>
      <c r="C659" s="16" t="s">
        <v>33</v>
      </c>
      <c r="D659" s="16" t="s">
        <v>109</v>
      </c>
      <c r="E659" s="17">
        <v>10</v>
      </c>
      <c r="F659" s="16" t="s">
        <v>70</v>
      </c>
      <c r="G659" s="16" t="str">
        <f t="shared" si="18"/>
        <v>Agosto</v>
      </c>
    </row>
    <row r="660" spans="1:17" x14ac:dyDescent="0.25">
      <c r="A660" s="16" t="s">
        <v>9</v>
      </c>
      <c r="B660" s="24">
        <v>46257</v>
      </c>
      <c r="C660" s="16" t="s">
        <v>32</v>
      </c>
      <c r="D660" s="16" t="s">
        <v>98</v>
      </c>
      <c r="E660" s="17">
        <v>14.66</v>
      </c>
      <c r="F660" s="16" t="s">
        <v>70</v>
      </c>
      <c r="G660" s="16" t="str">
        <f t="shared" si="18"/>
        <v>Agosto</v>
      </c>
    </row>
    <row r="661" spans="1:17" x14ac:dyDescent="0.25">
      <c r="A661" s="16" t="s">
        <v>9</v>
      </c>
      <c r="B661" s="24">
        <v>46257</v>
      </c>
      <c r="C661" s="16" t="s">
        <v>33</v>
      </c>
      <c r="D661" s="16" t="s">
        <v>115</v>
      </c>
      <c r="E661" s="17">
        <v>25.9</v>
      </c>
      <c r="F661" s="16" t="s">
        <v>70</v>
      </c>
      <c r="G661" s="16" t="str">
        <f t="shared" si="18"/>
        <v>Agosto</v>
      </c>
    </row>
    <row r="662" spans="1:17" x14ac:dyDescent="0.25">
      <c r="A662" s="16" t="s">
        <v>9</v>
      </c>
      <c r="B662" s="24">
        <v>46257</v>
      </c>
      <c r="C662" s="16" t="s">
        <v>33</v>
      </c>
      <c r="D662" s="16" t="s">
        <v>106</v>
      </c>
      <c r="E662" s="17">
        <v>15</v>
      </c>
      <c r="F662" s="16" t="s">
        <v>70</v>
      </c>
      <c r="G662" s="16" t="str">
        <f t="shared" si="18"/>
        <v>Agosto</v>
      </c>
    </row>
    <row r="663" spans="1:17" x14ac:dyDescent="0.25">
      <c r="A663" s="16" t="s">
        <v>9</v>
      </c>
      <c r="B663" s="24">
        <v>46258</v>
      </c>
      <c r="C663" s="16" t="s">
        <v>33</v>
      </c>
      <c r="D663" s="16" t="s">
        <v>121</v>
      </c>
      <c r="E663" s="17">
        <v>10</v>
      </c>
      <c r="F663" s="16" t="s">
        <v>70</v>
      </c>
      <c r="G663" s="16" t="str">
        <f t="shared" ref="G663:G664" si="19">TEXT(B663,"MMMM")</f>
        <v>Agosto</v>
      </c>
    </row>
    <row r="664" spans="1:17" x14ac:dyDescent="0.25">
      <c r="A664" s="16" t="s">
        <v>9</v>
      </c>
      <c r="B664" s="24">
        <v>46258</v>
      </c>
      <c r="C664" s="16" t="s">
        <v>33</v>
      </c>
      <c r="D664" s="16" t="s">
        <v>129</v>
      </c>
      <c r="E664" s="17">
        <v>23.9</v>
      </c>
      <c r="F664" s="16" t="s">
        <v>73</v>
      </c>
      <c r="G664" s="16" t="str">
        <f t="shared" si="19"/>
        <v>Agosto</v>
      </c>
    </row>
    <row r="665" spans="1:17" x14ac:dyDescent="0.25">
      <c r="A665" s="16" t="s">
        <v>9</v>
      </c>
      <c r="B665" s="24">
        <v>46261</v>
      </c>
      <c r="C665" s="16" t="s">
        <v>33</v>
      </c>
      <c r="D665" s="16" t="s">
        <v>129</v>
      </c>
      <c r="E665" s="17">
        <v>1.5</v>
      </c>
      <c r="F665" s="16" t="s">
        <v>70</v>
      </c>
      <c r="G665" s="16" t="str">
        <f t="shared" ref="G665" si="20">TEXT(B665,"MMMM")</f>
        <v>Agosto</v>
      </c>
    </row>
    <row r="666" spans="1:17" x14ac:dyDescent="0.25">
      <c r="A666" s="16" t="s">
        <v>9</v>
      </c>
      <c r="B666" s="24">
        <v>46261</v>
      </c>
      <c r="C666" s="16" t="s">
        <v>33</v>
      </c>
      <c r="D666" s="16" t="s">
        <v>109</v>
      </c>
      <c r="E666" s="17">
        <v>9</v>
      </c>
      <c r="F666" s="16" t="s">
        <v>70</v>
      </c>
      <c r="G666" s="16" t="str">
        <f t="shared" ref="G666" si="21">TEXT(B666,"MMMM")</f>
        <v>Agosto</v>
      </c>
    </row>
    <row r="667" spans="1:17" x14ac:dyDescent="0.25">
      <c r="A667" s="16" t="s">
        <v>5</v>
      </c>
      <c r="B667" s="24">
        <v>46261</v>
      </c>
      <c r="C667" s="16" t="s">
        <v>43</v>
      </c>
      <c r="D667" s="16" t="s">
        <v>200</v>
      </c>
      <c r="E667" s="17">
        <v>100</v>
      </c>
      <c r="F667" s="16" t="s">
        <v>70</v>
      </c>
      <c r="G667" s="16" t="str">
        <f t="shared" ref="G667:G682" si="22">TEXT(B667,"MMMM")</f>
        <v>Agosto</v>
      </c>
    </row>
    <row r="668" spans="1:17" x14ac:dyDescent="0.25">
      <c r="A668" s="16" t="s">
        <v>5</v>
      </c>
      <c r="B668" s="24">
        <v>46266</v>
      </c>
      <c r="C668" s="16" t="s">
        <v>43</v>
      </c>
      <c r="D668" s="16" t="s">
        <v>92</v>
      </c>
      <c r="E668" s="17">
        <v>193.00000000000091</v>
      </c>
      <c r="F668" s="16" t="s">
        <v>70</v>
      </c>
      <c r="G668" s="16" t="str">
        <f t="shared" si="22"/>
        <v>Setiembre</v>
      </c>
    </row>
    <row r="669" spans="1:17" x14ac:dyDescent="0.25">
      <c r="A669" s="16" t="s">
        <v>5</v>
      </c>
      <c r="B669" s="24">
        <v>46266</v>
      </c>
      <c r="C669" s="16" t="s">
        <v>6</v>
      </c>
      <c r="D669" s="16" t="s">
        <v>6</v>
      </c>
      <c r="E669" s="17">
        <v>2259.63</v>
      </c>
      <c r="F669" s="16" t="s">
        <v>70</v>
      </c>
      <c r="G669" s="16" t="str">
        <f t="shared" si="22"/>
        <v>Setiembre</v>
      </c>
    </row>
    <row r="670" spans="1:17" x14ac:dyDescent="0.25">
      <c r="A670" s="16" t="s">
        <v>5</v>
      </c>
      <c r="B670" s="24">
        <v>46266</v>
      </c>
      <c r="C670" s="16" t="s">
        <v>103</v>
      </c>
      <c r="D670" s="16" t="s">
        <v>104</v>
      </c>
      <c r="E670" s="17">
        <v>976.1</v>
      </c>
      <c r="F670" s="16" t="s">
        <v>73</v>
      </c>
      <c r="G670" s="16" t="str">
        <f t="shared" si="22"/>
        <v>Setiembre</v>
      </c>
    </row>
    <row r="671" spans="1:17" x14ac:dyDescent="0.25">
      <c r="A671" s="16" t="s">
        <v>5</v>
      </c>
      <c r="B671" s="24">
        <v>46266</v>
      </c>
      <c r="C671" s="16" t="s">
        <v>103</v>
      </c>
      <c r="D671" s="16" t="s">
        <v>104</v>
      </c>
      <c r="E671" s="17">
        <v>488.43</v>
      </c>
      <c r="F671" s="16" t="s">
        <v>105</v>
      </c>
      <c r="G671" s="16" t="str">
        <f t="shared" si="22"/>
        <v>Setiembre</v>
      </c>
    </row>
    <row r="672" spans="1:17" x14ac:dyDescent="0.25">
      <c r="A672" s="16" t="s">
        <v>5</v>
      </c>
      <c r="B672" s="24">
        <v>46266</v>
      </c>
      <c r="C672" s="16" t="s">
        <v>103</v>
      </c>
      <c r="D672" s="16" t="s">
        <v>104</v>
      </c>
      <c r="E672" s="17">
        <v>637.11</v>
      </c>
      <c r="F672" s="16" t="s">
        <v>180</v>
      </c>
      <c r="G672" s="16" t="str">
        <f t="shared" si="22"/>
        <v>Setiembre</v>
      </c>
      <c r="L672" s="135" t="s">
        <v>224</v>
      </c>
      <c r="M672" s="135"/>
      <c r="N672" s="135"/>
      <c r="O672" s="135"/>
      <c r="P672" s="135"/>
      <c r="Q672" s="135"/>
    </row>
    <row r="673" spans="1:21" x14ac:dyDescent="0.25">
      <c r="A673" s="16" t="s">
        <v>9</v>
      </c>
      <c r="B673" s="24">
        <v>46266</v>
      </c>
      <c r="C673" s="16" t="s">
        <v>32</v>
      </c>
      <c r="D673" s="16" t="s">
        <v>193</v>
      </c>
      <c r="E673" s="17">
        <v>200.67</v>
      </c>
      <c r="F673" s="16" t="s">
        <v>70</v>
      </c>
      <c r="G673" s="16" t="str">
        <f t="shared" si="22"/>
        <v>Setiembre</v>
      </c>
      <c r="L673" s="129" t="s">
        <v>192</v>
      </c>
      <c r="M673" s="130"/>
      <c r="N673" s="131"/>
      <c r="O673" s="132" t="s">
        <v>20</v>
      </c>
      <c r="P673" s="133"/>
      <c r="Q673" s="134"/>
    </row>
    <row r="674" spans="1:21" x14ac:dyDescent="0.25">
      <c r="A674" s="16" t="s">
        <v>9</v>
      </c>
      <c r="B674" s="24">
        <v>46266</v>
      </c>
      <c r="C674" s="16" t="s">
        <v>63</v>
      </c>
      <c r="D674" s="16" t="s">
        <v>185</v>
      </c>
      <c r="E674" s="17">
        <v>116.85</v>
      </c>
      <c r="F674" s="16" t="s">
        <v>70</v>
      </c>
      <c r="G674" s="16" t="str">
        <f t="shared" si="22"/>
        <v>Setiembre</v>
      </c>
      <c r="L674" s="27" t="s">
        <v>0</v>
      </c>
      <c r="M674" s="27" t="s">
        <v>89</v>
      </c>
      <c r="N674" s="28" t="s">
        <v>90</v>
      </c>
      <c r="O674" s="28" t="s">
        <v>36</v>
      </c>
      <c r="P674" s="29" t="s">
        <v>37</v>
      </c>
      <c r="Q674" s="29" t="s">
        <v>67</v>
      </c>
    </row>
    <row r="675" spans="1:21" x14ac:dyDescent="0.25">
      <c r="A675" s="16" t="s">
        <v>9</v>
      </c>
      <c r="B675" s="24">
        <v>46266</v>
      </c>
      <c r="C675" s="16" t="s">
        <v>32</v>
      </c>
      <c r="D675" s="16" t="s">
        <v>101</v>
      </c>
      <c r="E675" s="17">
        <v>20</v>
      </c>
      <c r="F675" s="16" t="s">
        <v>70</v>
      </c>
      <c r="G675" s="16" t="str">
        <f t="shared" si="22"/>
        <v>Setiembre</v>
      </c>
      <c r="L675" s="51" t="s">
        <v>9</v>
      </c>
      <c r="M675" s="49">
        <v>46266</v>
      </c>
      <c r="N675" s="51" t="s">
        <v>32</v>
      </c>
      <c r="O675" s="49" t="s">
        <v>76</v>
      </c>
      <c r="P675" s="51">
        <v>12</v>
      </c>
      <c r="Q675" s="49" t="s">
        <v>73</v>
      </c>
    </row>
    <row r="676" spans="1:21" x14ac:dyDescent="0.25">
      <c r="A676" s="16" t="s">
        <v>9</v>
      </c>
      <c r="B676" s="24">
        <v>46266</v>
      </c>
      <c r="C676" s="16" t="s">
        <v>63</v>
      </c>
      <c r="D676" s="16" t="s">
        <v>159</v>
      </c>
      <c r="E676" s="17">
        <v>245.75</v>
      </c>
      <c r="F676" s="16" t="s">
        <v>70</v>
      </c>
      <c r="G676" s="16" t="str">
        <f t="shared" si="22"/>
        <v>Setiembre</v>
      </c>
      <c r="L676" s="51" t="s">
        <v>9</v>
      </c>
      <c r="M676" s="49">
        <v>46266</v>
      </c>
      <c r="N676" s="51" t="s">
        <v>32</v>
      </c>
      <c r="O676" s="51" t="s">
        <v>93</v>
      </c>
      <c r="P676" s="51">
        <v>79</v>
      </c>
      <c r="Q676" s="51" t="s">
        <v>105</v>
      </c>
    </row>
    <row r="677" spans="1:21" x14ac:dyDescent="0.25">
      <c r="A677" s="16" t="s">
        <v>9</v>
      </c>
      <c r="B677" s="24">
        <v>46270</v>
      </c>
      <c r="C677" s="16" t="s">
        <v>32</v>
      </c>
      <c r="D677" s="16" t="s">
        <v>158</v>
      </c>
      <c r="E677" s="17">
        <v>751.89</v>
      </c>
      <c r="F677" s="16" t="s">
        <v>70</v>
      </c>
      <c r="G677" s="16" t="str">
        <f t="shared" si="22"/>
        <v>Setiembre</v>
      </c>
      <c r="L677" s="49" t="s">
        <v>9</v>
      </c>
      <c r="M677" s="49">
        <v>46266</v>
      </c>
      <c r="N677" s="50" t="s">
        <v>32</v>
      </c>
      <c r="O677" s="50" t="s">
        <v>95</v>
      </c>
      <c r="P677" s="51">
        <v>41.9</v>
      </c>
      <c r="Q677" s="51" t="s">
        <v>105</v>
      </c>
      <c r="U677" s="31"/>
    </row>
    <row r="678" spans="1:21" x14ac:dyDescent="0.25">
      <c r="A678" s="16" t="s">
        <v>9</v>
      </c>
      <c r="B678" s="24">
        <v>46270</v>
      </c>
      <c r="C678" s="16" t="s">
        <v>32</v>
      </c>
      <c r="D678" s="16" t="s">
        <v>102</v>
      </c>
      <c r="E678" s="17">
        <v>455.09</v>
      </c>
      <c r="F678" s="16" t="s">
        <v>70</v>
      </c>
      <c r="G678" s="16" t="str">
        <f t="shared" si="22"/>
        <v>Setiembre</v>
      </c>
      <c r="L678" s="43" t="s">
        <v>9</v>
      </c>
      <c r="M678" s="43">
        <v>46269</v>
      </c>
      <c r="N678" s="44" t="s">
        <v>33</v>
      </c>
      <c r="O678" s="44" t="s">
        <v>201</v>
      </c>
      <c r="P678" s="45">
        <v>120</v>
      </c>
      <c r="Q678" s="44" t="s">
        <v>180</v>
      </c>
      <c r="U678" s="31"/>
    </row>
    <row r="679" spans="1:21" x14ac:dyDescent="0.25">
      <c r="A679" s="16" t="s">
        <v>9</v>
      </c>
      <c r="B679" s="24">
        <v>46270</v>
      </c>
      <c r="C679" s="16" t="s">
        <v>32</v>
      </c>
      <c r="D679" s="16" t="s">
        <v>96</v>
      </c>
      <c r="E679" s="17">
        <v>160</v>
      </c>
      <c r="F679" s="16" t="s">
        <v>70</v>
      </c>
      <c r="G679" s="16" t="str">
        <f t="shared" si="22"/>
        <v>Setiembre</v>
      </c>
      <c r="L679" s="46" t="s">
        <v>9</v>
      </c>
      <c r="M679" s="46">
        <v>46276</v>
      </c>
      <c r="N679" s="47" t="s">
        <v>32</v>
      </c>
      <c r="O679" s="47" t="s">
        <v>94</v>
      </c>
      <c r="P679" s="48">
        <v>112</v>
      </c>
      <c r="Q679" s="48" t="s">
        <v>105</v>
      </c>
      <c r="U679" s="31"/>
    </row>
    <row r="680" spans="1:21" x14ac:dyDescent="0.25">
      <c r="A680" s="16" t="s">
        <v>9</v>
      </c>
      <c r="B680" s="24">
        <v>46280</v>
      </c>
      <c r="C680" s="16" t="s">
        <v>63</v>
      </c>
      <c r="D680" s="16" t="s">
        <v>184</v>
      </c>
      <c r="E680" s="17">
        <v>143.16</v>
      </c>
      <c r="F680" s="16" t="s">
        <v>70</v>
      </c>
      <c r="G680" s="16" t="str">
        <f t="shared" si="22"/>
        <v>Setiembre</v>
      </c>
      <c r="L680" s="49" t="s">
        <v>9</v>
      </c>
      <c r="M680" s="49">
        <v>46276</v>
      </c>
      <c r="N680" s="49" t="s">
        <v>32</v>
      </c>
      <c r="O680" s="49" t="s">
        <v>99</v>
      </c>
      <c r="P680" s="51">
        <v>39.9</v>
      </c>
      <c r="Q680" s="49" t="s">
        <v>105</v>
      </c>
      <c r="U680" s="31"/>
    </row>
    <row r="681" spans="1:21" x14ac:dyDescent="0.25">
      <c r="A681" s="16" t="s">
        <v>9</v>
      </c>
      <c r="B681" s="24">
        <v>46280</v>
      </c>
      <c r="C681" s="16" t="s">
        <v>42</v>
      </c>
      <c r="D681" s="16" t="s">
        <v>176</v>
      </c>
      <c r="E681" s="17">
        <v>80</v>
      </c>
      <c r="F681" s="16" t="s">
        <v>70</v>
      </c>
      <c r="G681" s="16" t="str">
        <f t="shared" si="22"/>
        <v>Setiembre</v>
      </c>
      <c r="U681" s="31"/>
    </row>
    <row r="682" spans="1:21" x14ac:dyDescent="0.25">
      <c r="A682" s="16" t="s">
        <v>9</v>
      </c>
      <c r="B682" s="24">
        <v>46288</v>
      </c>
      <c r="C682" s="16" t="s">
        <v>32</v>
      </c>
      <c r="D682" s="16" t="s">
        <v>98</v>
      </c>
      <c r="E682" s="17">
        <v>15</v>
      </c>
      <c r="F682" s="16" t="s">
        <v>70</v>
      </c>
      <c r="G682" s="16" t="str">
        <f t="shared" si="22"/>
        <v>Setiembre</v>
      </c>
      <c r="U682" s="31"/>
    </row>
    <row r="683" spans="1:21" x14ac:dyDescent="0.25">
      <c r="A683" s="137" t="s">
        <v>9</v>
      </c>
      <c r="B683" s="24">
        <v>46266</v>
      </c>
      <c r="C683" s="137" t="s">
        <v>33</v>
      </c>
      <c r="D683" s="137" t="s">
        <v>124</v>
      </c>
      <c r="E683" s="17">
        <v>24.5</v>
      </c>
      <c r="F683" s="137" t="s">
        <v>70</v>
      </c>
      <c r="G683" s="137" t="str">
        <f t="shared" ref="G683" si="23">TEXT(B683,"MMMM")</f>
        <v>Setiembre</v>
      </c>
      <c r="U683" s="31"/>
    </row>
    <row r="684" spans="1:21" x14ac:dyDescent="0.25">
      <c r="A684" s="137" t="s">
        <v>9</v>
      </c>
      <c r="B684" s="24">
        <v>46266</v>
      </c>
      <c r="C684" s="137" t="s">
        <v>32</v>
      </c>
      <c r="D684" s="137" t="s">
        <v>100</v>
      </c>
      <c r="E684" s="17">
        <v>18.989999999999998</v>
      </c>
      <c r="F684" s="137" t="s">
        <v>180</v>
      </c>
      <c r="G684" s="137" t="str">
        <f t="shared" ref="G684" si="24">TEXT(B684,"MMMM")</f>
        <v>Setiembre</v>
      </c>
      <c r="U684" s="31"/>
    </row>
    <row r="685" spans="1:21" x14ac:dyDescent="0.25">
      <c r="A685" s="137" t="s">
        <v>9</v>
      </c>
      <c r="B685" s="24">
        <v>46266</v>
      </c>
      <c r="C685" s="137" t="s">
        <v>33</v>
      </c>
      <c r="D685" s="16" t="s">
        <v>227</v>
      </c>
      <c r="E685" s="17">
        <v>12.7</v>
      </c>
      <c r="F685" s="16" t="s">
        <v>73</v>
      </c>
      <c r="G685" s="137" t="str">
        <f t="shared" ref="G685" si="25">TEXT(B685,"MMMM")</f>
        <v>Setiembre</v>
      </c>
      <c r="U685" s="31"/>
    </row>
    <row r="686" spans="1:21" x14ac:dyDescent="0.25">
      <c r="A686" s="137" t="s">
        <v>9</v>
      </c>
      <c r="B686" s="24">
        <v>46266</v>
      </c>
      <c r="C686" s="137" t="s">
        <v>33</v>
      </c>
      <c r="D686" s="137" t="s">
        <v>228</v>
      </c>
      <c r="E686" s="17">
        <v>2</v>
      </c>
      <c r="F686" s="137" t="s">
        <v>70</v>
      </c>
      <c r="G686" s="137" t="str">
        <f t="shared" ref="G686" si="26">TEXT(B686,"MMMM")</f>
        <v>Setiembre</v>
      </c>
    </row>
  </sheetData>
  <autoFilter ref="L674:Q674" xr:uid="{59090AC5-A4E4-4F04-A99A-9FEE18B9F26C}">
    <sortState xmlns:xlrd2="http://schemas.microsoft.com/office/spreadsheetml/2017/richdata2" ref="L675:Q681">
      <sortCondition ref="M674"/>
    </sortState>
  </autoFilter>
  <mergeCells count="3">
    <mergeCell ref="L673:N673"/>
    <mergeCell ref="O673:Q673"/>
    <mergeCell ref="L672:Q672"/>
  </mergeCells>
  <conditionalFormatting sqref="O673:O675">
    <cfRule type="containsText" dxfId="36" priority="5" operator="containsText" text="Reservado">
      <formula>NOT(ISERROR(SEARCH("Reservado",O673)))</formula>
    </cfRule>
  </conditionalFormatting>
  <conditionalFormatting sqref="O677:O680">
    <cfRule type="containsText" dxfId="35" priority="35" operator="containsText" text="Reservado">
      <formula>NOT(ISERROR(SEARCH("Reservado",O677)))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45048-1EE1-40FC-8923-8032B93721E5}">
  <dimension ref="A2:R288"/>
  <sheetViews>
    <sheetView tabSelected="1" zoomScale="85" zoomScaleNormal="85" workbookViewId="0">
      <selection activeCell="F16" sqref="F16"/>
    </sheetView>
  </sheetViews>
  <sheetFormatPr baseColWidth="10" defaultColWidth="11.42578125" defaultRowHeight="15" x14ac:dyDescent="0.25"/>
  <cols>
    <col min="2" max="2" width="13.140625" bestFit="1" customWidth="1"/>
    <col min="3" max="3" width="15.42578125" bestFit="1" customWidth="1"/>
    <col min="4" max="4" width="21" customWidth="1"/>
    <col min="5" max="5" width="30.5703125" bestFit="1" customWidth="1"/>
    <col min="6" max="6" width="20.85546875" customWidth="1"/>
    <col min="7" max="7" width="21.85546875" customWidth="1"/>
    <col min="8" max="9" width="12.85546875" bestFit="1" customWidth="1"/>
    <col min="10" max="10" width="16.85546875" bestFit="1" customWidth="1"/>
    <col min="11" max="11" width="30.5703125" bestFit="1" customWidth="1"/>
    <col min="12" max="12" width="16" bestFit="1" customWidth="1"/>
    <col min="14" max="14" width="29.42578125" bestFit="1" customWidth="1"/>
    <col min="17" max="17" width="11.7109375" bestFit="1" customWidth="1"/>
    <col min="18" max="18" width="10.5703125" bestFit="1" customWidth="1"/>
  </cols>
  <sheetData>
    <row r="2" spans="2:18" x14ac:dyDescent="0.25">
      <c r="B2" s="129" t="s">
        <v>192</v>
      </c>
      <c r="C2" s="130"/>
      <c r="D2" s="131"/>
      <c r="E2" s="136" t="s">
        <v>23</v>
      </c>
      <c r="F2" s="136"/>
      <c r="G2" s="136"/>
      <c r="K2" s="32" t="s">
        <v>70</v>
      </c>
      <c r="N2" s="32" t="s">
        <v>73</v>
      </c>
    </row>
    <row r="3" spans="2:18" x14ac:dyDescent="0.25">
      <c r="B3" s="27" t="s">
        <v>0</v>
      </c>
      <c r="C3" s="27" t="s">
        <v>89</v>
      </c>
      <c r="D3" s="28" t="s">
        <v>90</v>
      </c>
      <c r="E3" s="28" t="s">
        <v>36</v>
      </c>
      <c r="F3" s="29" t="s">
        <v>37</v>
      </c>
      <c r="G3" s="29" t="s">
        <v>67</v>
      </c>
      <c r="K3" s="82" t="s">
        <v>197</v>
      </c>
      <c r="L3" s="83">
        <f>F5-L15+F4</f>
        <v>-111.44999999999982</v>
      </c>
      <c r="N3" s="82" t="s">
        <v>198</v>
      </c>
      <c r="O3" s="83">
        <f>1000-O6</f>
        <v>988</v>
      </c>
      <c r="Q3" s="33" t="s">
        <v>199</v>
      </c>
      <c r="R3" s="40">
        <f>L3+O3+O9</f>
        <v>1287.6500000000001</v>
      </c>
    </row>
    <row r="4" spans="2:18" x14ac:dyDescent="0.25">
      <c r="B4" s="46" t="s">
        <v>5</v>
      </c>
      <c r="C4" s="46">
        <v>46296</v>
      </c>
      <c r="D4" s="47" t="s">
        <v>43</v>
      </c>
      <c r="E4" s="47" t="s">
        <v>92</v>
      </c>
      <c r="F4" s="48">
        <v>0</v>
      </c>
      <c r="G4" s="47" t="s">
        <v>70</v>
      </c>
    </row>
    <row r="5" spans="2:18" x14ac:dyDescent="0.25">
      <c r="B5" s="48" t="s">
        <v>5</v>
      </c>
      <c r="C5" s="46">
        <v>46296</v>
      </c>
      <c r="D5" s="48" t="s">
        <v>6</v>
      </c>
      <c r="E5" s="48" t="s">
        <v>6</v>
      </c>
      <c r="F5" s="48">
        <v>2259.63</v>
      </c>
      <c r="G5" s="48" t="s">
        <v>70</v>
      </c>
      <c r="K5" s="50" t="s">
        <v>101</v>
      </c>
      <c r="L5" s="51">
        <v>20</v>
      </c>
      <c r="M5" s="31"/>
      <c r="N5" s="49" t="s">
        <v>76</v>
      </c>
      <c r="O5" s="51">
        <v>12</v>
      </c>
    </row>
    <row r="6" spans="2:18" x14ac:dyDescent="0.25">
      <c r="B6" s="51" t="s">
        <v>9</v>
      </c>
      <c r="C6" s="49">
        <v>46296</v>
      </c>
      <c r="D6" s="51" t="s">
        <v>32</v>
      </c>
      <c r="E6" s="49" t="s">
        <v>76</v>
      </c>
      <c r="F6" s="51">
        <v>12</v>
      </c>
      <c r="G6" s="49" t="s">
        <v>73</v>
      </c>
      <c r="K6" s="49" t="s">
        <v>159</v>
      </c>
      <c r="L6" s="51">
        <v>245.75</v>
      </c>
      <c r="M6" s="31"/>
      <c r="O6" s="30">
        <f>SUM(O5)</f>
        <v>12</v>
      </c>
    </row>
    <row r="7" spans="2:18" x14ac:dyDescent="0.25">
      <c r="B7" s="51" t="s">
        <v>9</v>
      </c>
      <c r="C7" s="49">
        <v>46296</v>
      </c>
      <c r="D7" s="51" t="s">
        <v>32</v>
      </c>
      <c r="E7" s="51" t="s">
        <v>93</v>
      </c>
      <c r="F7" s="51">
        <v>79</v>
      </c>
      <c r="G7" s="51" t="s">
        <v>105</v>
      </c>
      <c r="K7" s="47" t="s">
        <v>193</v>
      </c>
      <c r="L7" s="48">
        <f>F11</f>
        <v>381.88</v>
      </c>
      <c r="M7" s="31"/>
    </row>
    <row r="8" spans="2:18" x14ac:dyDescent="0.25">
      <c r="B8" s="46" t="s">
        <v>9</v>
      </c>
      <c r="C8" s="46">
        <v>46296</v>
      </c>
      <c r="D8" s="47" t="s">
        <v>32</v>
      </c>
      <c r="E8" s="47" t="s">
        <v>95</v>
      </c>
      <c r="F8" s="48">
        <v>50</v>
      </c>
      <c r="G8" s="48" t="s">
        <v>105</v>
      </c>
      <c r="K8" s="50" t="s">
        <v>185</v>
      </c>
      <c r="L8" s="65">
        <v>116.85</v>
      </c>
      <c r="M8" s="31"/>
      <c r="N8" s="32" t="s">
        <v>105</v>
      </c>
    </row>
    <row r="9" spans="2:18" x14ac:dyDescent="0.25">
      <c r="B9" s="49" t="s">
        <v>9</v>
      </c>
      <c r="C9" s="49">
        <v>46296</v>
      </c>
      <c r="D9" s="50" t="s">
        <v>32</v>
      </c>
      <c r="E9" s="50" t="s">
        <v>101</v>
      </c>
      <c r="F9" s="51">
        <v>20</v>
      </c>
      <c r="G9" s="50" t="s">
        <v>70</v>
      </c>
      <c r="K9" s="47" t="s">
        <v>96</v>
      </c>
      <c r="L9" s="48">
        <v>160</v>
      </c>
      <c r="M9" s="31"/>
      <c r="N9" s="82" t="s">
        <v>198</v>
      </c>
      <c r="O9" s="83">
        <f>700-O15</f>
        <v>411.1</v>
      </c>
    </row>
    <row r="10" spans="2:18" x14ac:dyDescent="0.25">
      <c r="B10" s="49" t="s">
        <v>9</v>
      </c>
      <c r="C10" s="49">
        <v>46296</v>
      </c>
      <c r="D10" s="49" t="s">
        <v>63</v>
      </c>
      <c r="E10" s="49" t="s">
        <v>159</v>
      </c>
      <c r="F10" s="51">
        <v>245.75</v>
      </c>
      <c r="G10" s="49" t="s">
        <v>70</v>
      </c>
      <c r="K10" s="47" t="s">
        <v>158</v>
      </c>
      <c r="L10" s="48">
        <f>F15</f>
        <v>36.600000000000023</v>
      </c>
      <c r="M10" s="31"/>
    </row>
    <row r="11" spans="2:18" x14ac:dyDescent="0.25">
      <c r="B11" s="46" t="s">
        <v>9</v>
      </c>
      <c r="C11" s="43">
        <v>46296</v>
      </c>
      <c r="D11" s="47" t="s">
        <v>32</v>
      </c>
      <c r="E11" s="47" t="s">
        <v>193</v>
      </c>
      <c r="F11" s="48">
        <f>Estadistica!D29</f>
        <v>381.88</v>
      </c>
      <c r="G11" s="47" t="s">
        <v>70</v>
      </c>
      <c r="K11" s="47" t="s">
        <v>102</v>
      </c>
      <c r="L11" s="48">
        <f>F16</f>
        <v>271.83999999999997</v>
      </c>
      <c r="M11" s="31"/>
      <c r="N11" s="51" t="s">
        <v>93</v>
      </c>
      <c r="O11" s="51">
        <v>79</v>
      </c>
    </row>
    <row r="12" spans="2:18" x14ac:dyDescent="0.25">
      <c r="B12" s="64" t="s">
        <v>9</v>
      </c>
      <c r="C12" s="64">
        <v>46296</v>
      </c>
      <c r="D12" s="50" t="s">
        <v>63</v>
      </c>
      <c r="E12" s="50" t="s">
        <v>185</v>
      </c>
      <c r="F12" s="65">
        <v>116.85</v>
      </c>
      <c r="G12" s="66" t="s">
        <v>70</v>
      </c>
      <c r="K12" s="50" t="s">
        <v>184</v>
      </c>
      <c r="L12" s="51">
        <v>143.16</v>
      </c>
      <c r="M12" s="31"/>
      <c r="N12" s="47" t="s">
        <v>94</v>
      </c>
      <c r="O12" s="48">
        <f>F18</f>
        <v>120</v>
      </c>
    </row>
    <row r="13" spans="2:18" x14ac:dyDescent="0.25">
      <c r="B13" s="43" t="s">
        <v>9</v>
      </c>
      <c r="C13" s="43">
        <v>46299</v>
      </c>
      <c r="D13" s="44" t="s">
        <v>33</v>
      </c>
      <c r="E13" s="44" t="s">
        <v>201</v>
      </c>
      <c r="F13" s="45">
        <v>120</v>
      </c>
      <c r="G13" s="44" t="s">
        <v>180</v>
      </c>
      <c r="K13" s="49" t="s">
        <v>176</v>
      </c>
      <c r="L13" s="51">
        <f>F20</f>
        <v>980</v>
      </c>
      <c r="M13" s="31"/>
      <c r="N13" s="47" t="s">
        <v>95</v>
      </c>
      <c r="O13" s="48">
        <f>F8</f>
        <v>50</v>
      </c>
    </row>
    <row r="14" spans="2:18" x14ac:dyDescent="0.25">
      <c r="B14" s="46" t="s">
        <v>9</v>
      </c>
      <c r="C14" s="46">
        <v>46300</v>
      </c>
      <c r="D14" s="47" t="s">
        <v>32</v>
      </c>
      <c r="E14" s="47" t="s">
        <v>96</v>
      </c>
      <c r="F14" s="48">
        <v>160</v>
      </c>
      <c r="G14" s="47" t="s">
        <v>70</v>
      </c>
      <c r="K14" s="49" t="s">
        <v>98</v>
      </c>
      <c r="L14" s="51">
        <v>15</v>
      </c>
      <c r="N14" s="49" t="s">
        <v>99</v>
      </c>
      <c r="O14" s="51">
        <v>39.9</v>
      </c>
    </row>
    <row r="15" spans="2:18" x14ac:dyDescent="0.25">
      <c r="B15" s="46" t="s">
        <v>9</v>
      </c>
      <c r="C15" s="46">
        <v>46300</v>
      </c>
      <c r="D15" s="47" t="s">
        <v>32</v>
      </c>
      <c r="E15" s="47" t="s">
        <v>158</v>
      </c>
      <c r="F15" s="48">
        <f>Estadistica!D27</f>
        <v>36.600000000000023</v>
      </c>
      <c r="G15" s="47" t="s">
        <v>70</v>
      </c>
      <c r="L15" s="30">
        <f>SUM(L5:L14)</f>
        <v>2371.08</v>
      </c>
      <c r="O15" s="30">
        <f>SUM(O11:O14)</f>
        <v>288.89999999999998</v>
      </c>
    </row>
    <row r="16" spans="2:18" x14ac:dyDescent="0.25">
      <c r="B16" s="46" t="s">
        <v>9</v>
      </c>
      <c r="C16" s="46">
        <v>46300</v>
      </c>
      <c r="D16" s="47" t="s">
        <v>32</v>
      </c>
      <c r="E16" s="47" t="s">
        <v>102</v>
      </c>
      <c r="F16" s="48">
        <f>60.27+Estadistica!D31</f>
        <v>271.83999999999997</v>
      </c>
      <c r="G16" s="47" t="s">
        <v>70</v>
      </c>
      <c r="N16" s="32" t="s">
        <v>180</v>
      </c>
    </row>
    <row r="17" spans="1:18" x14ac:dyDescent="0.25">
      <c r="B17" s="49" t="s">
        <v>9</v>
      </c>
      <c r="C17" s="49">
        <v>46306</v>
      </c>
      <c r="D17" s="49" t="s">
        <v>32</v>
      </c>
      <c r="E17" s="49" t="s">
        <v>99</v>
      </c>
      <c r="F17" s="51">
        <v>39.9</v>
      </c>
      <c r="G17" s="49" t="s">
        <v>105</v>
      </c>
      <c r="N17" s="82" t="s">
        <v>198</v>
      </c>
      <c r="O17" s="83">
        <f>1000-O20</f>
        <v>880</v>
      </c>
    </row>
    <row r="18" spans="1:18" x14ac:dyDescent="0.25">
      <c r="B18" s="46" t="s">
        <v>9</v>
      </c>
      <c r="C18" s="46">
        <v>46276</v>
      </c>
      <c r="D18" s="47" t="s">
        <v>32</v>
      </c>
      <c r="E18" s="47" t="s">
        <v>94</v>
      </c>
      <c r="F18" s="48">
        <v>120</v>
      </c>
      <c r="G18" s="48" t="s">
        <v>105</v>
      </c>
      <c r="K18" s="60" t="s">
        <v>202</v>
      </c>
    </row>
    <row r="19" spans="1:18" x14ac:dyDescent="0.25">
      <c r="B19" s="49" t="s">
        <v>9</v>
      </c>
      <c r="C19" s="49">
        <v>46310</v>
      </c>
      <c r="D19" s="50" t="s">
        <v>63</v>
      </c>
      <c r="E19" s="50" t="s">
        <v>184</v>
      </c>
      <c r="F19" s="51">
        <v>143.16</v>
      </c>
      <c r="G19" s="50" t="s">
        <v>70</v>
      </c>
      <c r="K19" s="61" t="s">
        <v>6</v>
      </c>
      <c r="L19" s="62">
        <v>2700</v>
      </c>
      <c r="N19" s="44" t="s">
        <v>201</v>
      </c>
      <c r="O19" s="45">
        <v>120</v>
      </c>
    </row>
    <row r="20" spans="1:18" x14ac:dyDescent="0.25">
      <c r="B20" s="49" t="s">
        <v>9</v>
      </c>
      <c r="C20" s="49">
        <v>46310</v>
      </c>
      <c r="D20" s="49" t="s">
        <v>42</v>
      </c>
      <c r="E20" s="49" t="s">
        <v>176</v>
      </c>
      <c r="F20" s="51">
        <v>980</v>
      </c>
      <c r="G20" s="50" t="s">
        <v>70</v>
      </c>
      <c r="O20" s="30">
        <f>SUM(O19)</f>
        <v>120</v>
      </c>
    </row>
    <row r="21" spans="1:18" x14ac:dyDescent="0.25">
      <c r="B21" s="49" t="s">
        <v>9</v>
      </c>
      <c r="C21" s="49">
        <v>46318</v>
      </c>
      <c r="D21" s="49" t="s">
        <v>32</v>
      </c>
      <c r="E21" s="49" t="s">
        <v>98</v>
      </c>
      <c r="F21" s="51">
        <v>15</v>
      </c>
      <c r="G21" s="50" t="s">
        <v>70</v>
      </c>
    </row>
    <row r="23" spans="1:18" s="87" customFormat="1" x14ac:dyDescent="0.25">
      <c r="A23" s="86"/>
    </row>
    <row r="25" spans="1:18" x14ac:dyDescent="0.25">
      <c r="B25" s="129" t="s">
        <v>192</v>
      </c>
      <c r="C25" s="130"/>
      <c r="D25" s="131"/>
      <c r="E25" s="136" t="s">
        <v>24</v>
      </c>
      <c r="F25" s="136"/>
      <c r="G25" s="136"/>
      <c r="K25" s="32" t="s">
        <v>70</v>
      </c>
      <c r="N25" s="32" t="s">
        <v>73</v>
      </c>
    </row>
    <row r="26" spans="1:18" x14ac:dyDescent="0.25">
      <c r="B26" s="27" t="s">
        <v>0</v>
      </c>
      <c r="C26" s="27" t="s">
        <v>89</v>
      </c>
      <c r="D26" s="28" t="s">
        <v>90</v>
      </c>
      <c r="E26" s="28" t="s">
        <v>36</v>
      </c>
      <c r="F26" s="29" t="s">
        <v>37</v>
      </c>
      <c r="G26" s="29" t="s">
        <v>67</v>
      </c>
      <c r="K26" s="82" t="s">
        <v>197</v>
      </c>
      <c r="L26" s="83">
        <f>F28-L39+F27+F44</f>
        <v>1717.97</v>
      </c>
      <c r="N26" s="82" t="s">
        <v>198</v>
      </c>
      <c r="O26" s="83">
        <f>1000-O31</f>
        <v>828.1</v>
      </c>
      <c r="Q26" s="33" t="s">
        <v>199</v>
      </c>
      <c r="R26" s="40">
        <f>L26+O26+O34</f>
        <v>2997.07</v>
      </c>
    </row>
    <row r="27" spans="1:18" x14ac:dyDescent="0.25">
      <c r="B27" s="46" t="s">
        <v>5</v>
      </c>
      <c r="C27" s="46">
        <v>46327</v>
      </c>
      <c r="D27" s="47" t="s">
        <v>43</v>
      </c>
      <c r="E27" s="47" t="s">
        <v>92</v>
      </c>
      <c r="F27" s="48">
        <v>0</v>
      </c>
      <c r="G27" s="47" t="s">
        <v>70</v>
      </c>
    </row>
    <row r="28" spans="1:18" x14ac:dyDescent="0.25">
      <c r="B28" s="48" t="s">
        <v>5</v>
      </c>
      <c r="C28" s="46">
        <v>46327</v>
      </c>
      <c r="D28" s="48" t="s">
        <v>6</v>
      </c>
      <c r="E28" s="48" t="s">
        <v>6</v>
      </c>
      <c r="F28" s="48">
        <v>2259.63</v>
      </c>
      <c r="G28" s="48" t="s">
        <v>70</v>
      </c>
      <c r="K28" s="50" t="s">
        <v>101</v>
      </c>
      <c r="L28" s="51">
        <v>20</v>
      </c>
      <c r="M28" s="31"/>
      <c r="N28" s="49" t="s">
        <v>76</v>
      </c>
      <c r="O28" s="51">
        <v>12</v>
      </c>
    </row>
    <row r="29" spans="1:18" x14ac:dyDescent="0.25">
      <c r="B29" s="51" t="s">
        <v>9</v>
      </c>
      <c r="C29" s="49">
        <v>46327</v>
      </c>
      <c r="D29" s="51" t="s">
        <v>32</v>
      </c>
      <c r="E29" s="49" t="s">
        <v>76</v>
      </c>
      <c r="F29" s="51">
        <v>12</v>
      </c>
      <c r="G29" s="49" t="s">
        <v>73</v>
      </c>
      <c r="K29" s="49" t="s">
        <v>159</v>
      </c>
      <c r="L29" s="51">
        <v>245.75</v>
      </c>
      <c r="M29" s="31"/>
      <c r="N29" s="44" t="s">
        <v>201</v>
      </c>
      <c r="O29" s="45">
        <v>120</v>
      </c>
    </row>
    <row r="30" spans="1:18" x14ac:dyDescent="0.25">
      <c r="B30" s="51" t="s">
        <v>9</v>
      </c>
      <c r="C30" s="49">
        <v>46327</v>
      </c>
      <c r="D30" s="51" t="s">
        <v>32</v>
      </c>
      <c r="E30" s="51" t="s">
        <v>93</v>
      </c>
      <c r="F30" s="51">
        <v>79</v>
      </c>
      <c r="G30" s="51" t="s">
        <v>105</v>
      </c>
      <c r="K30" s="47" t="s">
        <v>193</v>
      </c>
      <c r="L30" s="48">
        <f>F35</f>
        <v>0</v>
      </c>
      <c r="M30" s="31"/>
      <c r="N30" s="49" t="s">
        <v>99</v>
      </c>
      <c r="O30" s="51">
        <v>39.9</v>
      </c>
    </row>
    <row r="31" spans="1:18" x14ac:dyDescent="0.25">
      <c r="B31" s="46" t="s">
        <v>9</v>
      </c>
      <c r="C31" s="46">
        <v>46327</v>
      </c>
      <c r="D31" s="47" t="s">
        <v>32</v>
      </c>
      <c r="E31" s="47" t="s">
        <v>95</v>
      </c>
      <c r="F31" s="48">
        <v>50</v>
      </c>
      <c r="G31" s="48" t="s">
        <v>105</v>
      </c>
      <c r="K31" s="50" t="s">
        <v>185</v>
      </c>
      <c r="L31" s="65">
        <v>116.85</v>
      </c>
      <c r="M31" s="31"/>
      <c r="O31" s="30">
        <f>SUM(O28:O30)</f>
        <v>171.9</v>
      </c>
    </row>
    <row r="32" spans="1:18" x14ac:dyDescent="0.25">
      <c r="B32" s="49" t="s">
        <v>9</v>
      </c>
      <c r="C32" s="49">
        <v>46327</v>
      </c>
      <c r="D32" s="50" t="s">
        <v>32</v>
      </c>
      <c r="E32" s="50" t="s">
        <v>101</v>
      </c>
      <c r="F32" s="51">
        <v>20</v>
      </c>
      <c r="G32" s="50" t="s">
        <v>70</v>
      </c>
      <c r="K32" s="50" t="s">
        <v>203</v>
      </c>
      <c r="L32" s="51">
        <v>500</v>
      </c>
      <c r="M32" s="31"/>
    </row>
    <row r="33" spans="1:15" x14ac:dyDescent="0.25">
      <c r="B33" s="49" t="s">
        <v>9</v>
      </c>
      <c r="C33" s="49">
        <v>46327</v>
      </c>
      <c r="D33" s="49" t="s">
        <v>63</v>
      </c>
      <c r="E33" s="49" t="s">
        <v>159</v>
      </c>
      <c r="F33" s="51">
        <v>245.75</v>
      </c>
      <c r="G33" s="49" t="s">
        <v>70</v>
      </c>
      <c r="K33" s="47" t="s">
        <v>96</v>
      </c>
      <c r="L33" s="48">
        <v>160</v>
      </c>
      <c r="M33" s="31"/>
      <c r="N33" s="32" t="s">
        <v>105</v>
      </c>
    </row>
    <row r="34" spans="1:15" x14ac:dyDescent="0.25">
      <c r="B34" s="43" t="s">
        <v>9</v>
      </c>
      <c r="C34" s="43">
        <v>46327</v>
      </c>
      <c r="D34" s="44" t="s">
        <v>33</v>
      </c>
      <c r="E34" s="44" t="s">
        <v>201</v>
      </c>
      <c r="F34" s="45">
        <v>120</v>
      </c>
      <c r="G34" s="44" t="s">
        <v>73</v>
      </c>
      <c r="K34" s="47" t="s">
        <v>158</v>
      </c>
      <c r="L34" s="48">
        <f>F39</f>
        <v>12</v>
      </c>
      <c r="M34" s="31"/>
      <c r="N34" s="82" t="s">
        <v>198</v>
      </c>
      <c r="O34" s="83">
        <f>700-O39</f>
        <v>451</v>
      </c>
    </row>
    <row r="35" spans="1:15" x14ac:dyDescent="0.25">
      <c r="B35" s="46" t="s">
        <v>9</v>
      </c>
      <c r="C35" s="43">
        <v>46327</v>
      </c>
      <c r="D35" s="47" t="s">
        <v>32</v>
      </c>
      <c r="E35" s="47" t="s">
        <v>193</v>
      </c>
      <c r="F35" s="48">
        <v>0</v>
      </c>
      <c r="G35" s="47" t="s">
        <v>70</v>
      </c>
      <c r="K35" s="47" t="s">
        <v>102</v>
      </c>
      <c r="L35" s="48">
        <f>F40</f>
        <v>288.89999999999998</v>
      </c>
      <c r="M35" s="31"/>
    </row>
    <row r="36" spans="1:15" x14ac:dyDescent="0.25">
      <c r="B36" s="64" t="s">
        <v>9</v>
      </c>
      <c r="C36" s="64">
        <v>46327</v>
      </c>
      <c r="D36" s="50" t="s">
        <v>63</v>
      </c>
      <c r="E36" s="50" t="s">
        <v>185</v>
      </c>
      <c r="F36" s="65">
        <v>116.85</v>
      </c>
      <c r="G36" s="66" t="s">
        <v>70</v>
      </c>
      <c r="K36" s="50" t="s">
        <v>184</v>
      </c>
      <c r="L36" s="51">
        <v>143.16</v>
      </c>
      <c r="M36" s="31"/>
      <c r="N36" s="51" t="s">
        <v>93</v>
      </c>
      <c r="O36" s="51">
        <v>79</v>
      </c>
    </row>
    <row r="37" spans="1:15" x14ac:dyDescent="0.25">
      <c r="B37" s="49" t="s">
        <v>9</v>
      </c>
      <c r="C37" s="64">
        <v>46296</v>
      </c>
      <c r="D37" s="50" t="s">
        <v>63</v>
      </c>
      <c r="E37" s="50" t="s">
        <v>203</v>
      </c>
      <c r="F37" s="51">
        <v>500</v>
      </c>
      <c r="G37" s="50" t="s">
        <v>70</v>
      </c>
      <c r="K37" s="49" t="s">
        <v>176</v>
      </c>
      <c r="L37" s="51">
        <f>F45</f>
        <v>520</v>
      </c>
      <c r="N37" s="47" t="s">
        <v>94</v>
      </c>
      <c r="O37" s="48">
        <f>F41</f>
        <v>120</v>
      </c>
    </row>
    <row r="38" spans="1:15" x14ac:dyDescent="0.25">
      <c r="B38" s="46" t="s">
        <v>9</v>
      </c>
      <c r="C38" s="46">
        <v>46331</v>
      </c>
      <c r="D38" s="47" t="s">
        <v>32</v>
      </c>
      <c r="E38" s="47" t="s">
        <v>96</v>
      </c>
      <c r="F38" s="48">
        <v>160</v>
      </c>
      <c r="G38" s="47" t="s">
        <v>70</v>
      </c>
      <c r="K38" s="49" t="s">
        <v>98</v>
      </c>
      <c r="L38" s="51">
        <v>15</v>
      </c>
      <c r="N38" s="47" t="s">
        <v>95</v>
      </c>
      <c r="O38" s="48">
        <f>F31</f>
        <v>50</v>
      </c>
    </row>
    <row r="39" spans="1:15" x14ac:dyDescent="0.25">
      <c r="B39" s="46" t="s">
        <v>9</v>
      </c>
      <c r="C39" s="46">
        <v>46331</v>
      </c>
      <c r="D39" s="47" t="s">
        <v>32</v>
      </c>
      <c r="E39" s="47" t="s">
        <v>158</v>
      </c>
      <c r="F39" s="48">
        <f>O6</f>
        <v>12</v>
      </c>
      <c r="G39" s="47" t="s">
        <v>70</v>
      </c>
      <c r="L39" s="30">
        <f>SUM(L28:L38)</f>
        <v>2021.66</v>
      </c>
      <c r="O39" s="30">
        <f>SUM(O36:O38)</f>
        <v>249</v>
      </c>
    </row>
    <row r="40" spans="1:15" x14ac:dyDescent="0.25">
      <c r="B40" s="46" t="s">
        <v>9</v>
      </c>
      <c r="C40" s="46">
        <v>46300</v>
      </c>
      <c r="D40" s="47" t="s">
        <v>32</v>
      </c>
      <c r="E40" s="47" t="s">
        <v>102</v>
      </c>
      <c r="F40" s="48">
        <f>O15</f>
        <v>288.89999999999998</v>
      </c>
      <c r="G40" s="47" t="s">
        <v>70</v>
      </c>
    </row>
    <row r="41" spans="1:15" x14ac:dyDescent="0.25">
      <c r="B41" s="46" t="s">
        <v>9</v>
      </c>
      <c r="C41" s="46">
        <v>46337</v>
      </c>
      <c r="D41" s="47" t="s">
        <v>32</v>
      </c>
      <c r="E41" s="47" t="s">
        <v>94</v>
      </c>
      <c r="F41" s="48">
        <v>120</v>
      </c>
      <c r="G41" s="48" t="s">
        <v>105</v>
      </c>
    </row>
    <row r="42" spans="1:15" x14ac:dyDescent="0.25">
      <c r="B42" s="49" t="s">
        <v>9</v>
      </c>
      <c r="C42" s="49">
        <v>46337</v>
      </c>
      <c r="D42" s="49" t="s">
        <v>32</v>
      </c>
      <c r="E42" s="49" t="s">
        <v>99</v>
      </c>
      <c r="F42" s="51">
        <v>39.9</v>
      </c>
      <c r="G42" s="49" t="s">
        <v>73</v>
      </c>
      <c r="N42" s="60" t="s">
        <v>202</v>
      </c>
    </row>
    <row r="43" spans="1:15" x14ac:dyDescent="0.25">
      <c r="B43" s="49" t="s">
        <v>9</v>
      </c>
      <c r="C43" s="49">
        <v>46341</v>
      </c>
      <c r="D43" s="50" t="s">
        <v>63</v>
      </c>
      <c r="E43" s="50" t="s">
        <v>184</v>
      </c>
      <c r="F43" s="51">
        <v>143.16</v>
      </c>
      <c r="G43" s="50" t="s">
        <v>70</v>
      </c>
      <c r="N43" s="61" t="s">
        <v>175</v>
      </c>
      <c r="O43" s="62">
        <v>1800</v>
      </c>
    </row>
    <row r="44" spans="1:15" x14ac:dyDescent="0.25">
      <c r="B44" s="46" t="s">
        <v>5</v>
      </c>
      <c r="C44" s="46">
        <v>46341</v>
      </c>
      <c r="D44" s="47" t="s">
        <v>6</v>
      </c>
      <c r="E44" s="47" t="s">
        <v>175</v>
      </c>
      <c r="F44" s="48">
        <v>1480</v>
      </c>
      <c r="G44" s="47" t="s">
        <v>70</v>
      </c>
    </row>
    <row r="45" spans="1:15" x14ac:dyDescent="0.25">
      <c r="B45" s="49" t="s">
        <v>9</v>
      </c>
      <c r="C45" s="49">
        <v>46341</v>
      </c>
      <c r="D45" s="49" t="s">
        <v>42</v>
      </c>
      <c r="E45" s="49" t="s">
        <v>176</v>
      </c>
      <c r="F45" s="51">
        <f>260+260</f>
        <v>520</v>
      </c>
      <c r="G45" s="50" t="s">
        <v>70</v>
      </c>
    </row>
    <row r="46" spans="1:15" x14ac:dyDescent="0.25">
      <c r="B46" s="49" t="s">
        <v>9</v>
      </c>
      <c r="C46" s="49">
        <v>46349</v>
      </c>
      <c r="D46" s="49" t="s">
        <v>32</v>
      </c>
      <c r="E46" s="49" t="s">
        <v>98</v>
      </c>
      <c r="F46" s="51">
        <v>15</v>
      </c>
      <c r="G46" s="50" t="s">
        <v>70</v>
      </c>
    </row>
    <row r="48" spans="1:15" s="87" customFormat="1" x14ac:dyDescent="0.25">
      <c r="A48" s="86"/>
    </row>
    <row r="50" spans="2:18" x14ac:dyDescent="0.25">
      <c r="B50" s="129" t="s">
        <v>192</v>
      </c>
      <c r="C50" s="130"/>
      <c r="D50" s="131"/>
      <c r="E50" s="136" t="s">
        <v>25</v>
      </c>
      <c r="F50" s="136"/>
      <c r="G50" s="136"/>
      <c r="K50" s="32" t="s">
        <v>70</v>
      </c>
      <c r="N50" s="32" t="s">
        <v>73</v>
      </c>
    </row>
    <row r="51" spans="2:18" x14ac:dyDescent="0.25">
      <c r="B51" s="27" t="s">
        <v>0</v>
      </c>
      <c r="C51" s="27" t="s">
        <v>89</v>
      </c>
      <c r="D51" s="28" t="s">
        <v>90</v>
      </c>
      <c r="E51" s="28" t="s">
        <v>36</v>
      </c>
      <c r="F51" s="29" t="s">
        <v>37</v>
      </c>
      <c r="G51" s="29" t="s">
        <v>67</v>
      </c>
      <c r="K51" t="s">
        <v>197</v>
      </c>
      <c r="L51" s="30">
        <f>F53-L63+F52+F68</f>
        <v>2317.9700000000003</v>
      </c>
      <c r="N51" t="s">
        <v>198</v>
      </c>
      <c r="O51" s="30">
        <f>1000-O56</f>
        <v>828.1</v>
      </c>
      <c r="Q51" s="33" t="s">
        <v>199</v>
      </c>
      <c r="R51" s="40">
        <f>L51+O51+O59</f>
        <v>3597.07</v>
      </c>
    </row>
    <row r="52" spans="2:18" x14ac:dyDescent="0.25">
      <c r="B52" s="46" t="s">
        <v>5</v>
      </c>
      <c r="C52" s="46">
        <v>46357</v>
      </c>
      <c r="D52" s="47" t="s">
        <v>43</v>
      </c>
      <c r="E52" s="47" t="s">
        <v>92</v>
      </c>
      <c r="F52" s="48">
        <v>0</v>
      </c>
      <c r="G52" s="47" t="s">
        <v>70</v>
      </c>
    </row>
    <row r="53" spans="2:18" x14ac:dyDescent="0.25">
      <c r="B53" s="48" t="s">
        <v>5</v>
      </c>
      <c r="C53" s="46">
        <v>46357</v>
      </c>
      <c r="D53" s="48" t="s">
        <v>6</v>
      </c>
      <c r="E53" s="48" t="s">
        <v>6</v>
      </c>
      <c r="F53" s="48">
        <v>2259.63</v>
      </c>
      <c r="G53" s="48" t="s">
        <v>70</v>
      </c>
      <c r="K53" s="50" t="s">
        <v>101</v>
      </c>
      <c r="L53" s="51">
        <v>20</v>
      </c>
      <c r="M53" s="31"/>
      <c r="N53" s="49" t="s">
        <v>76</v>
      </c>
      <c r="O53" s="51">
        <v>12</v>
      </c>
    </row>
    <row r="54" spans="2:18" x14ac:dyDescent="0.25">
      <c r="B54" s="51" t="s">
        <v>9</v>
      </c>
      <c r="C54" s="49">
        <v>46357</v>
      </c>
      <c r="D54" s="51" t="s">
        <v>32</v>
      </c>
      <c r="E54" s="49" t="s">
        <v>76</v>
      </c>
      <c r="F54" s="51">
        <v>12</v>
      </c>
      <c r="G54" s="49" t="s">
        <v>73</v>
      </c>
      <c r="K54" s="49" t="s">
        <v>159</v>
      </c>
      <c r="L54" s="51">
        <v>245.75</v>
      </c>
      <c r="M54" s="31"/>
      <c r="N54" s="44" t="s">
        <v>201</v>
      </c>
      <c r="O54" s="45">
        <v>120</v>
      </c>
    </row>
    <row r="55" spans="2:18" x14ac:dyDescent="0.25">
      <c r="B55" s="51" t="s">
        <v>9</v>
      </c>
      <c r="C55" s="49">
        <v>46357</v>
      </c>
      <c r="D55" s="51" t="s">
        <v>32</v>
      </c>
      <c r="E55" s="51" t="s">
        <v>93</v>
      </c>
      <c r="F55" s="51">
        <v>79</v>
      </c>
      <c r="G55" s="51" t="s">
        <v>105</v>
      </c>
      <c r="K55" s="47" t="s">
        <v>193</v>
      </c>
      <c r="L55" s="48">
        <f>F61</f>
        <v>0</v>
      </c>
      <c r="M55" s="31"/>
      <c r="N55" s="49" t="s">
        <v>99</v>
      </c>
      <c r="O55" s="51">
        <v>39.9</v>
      </c>
    </row>
    <row r="56" spans="2:18" x14ac:dyDescent="0.25">
      <c r="B56" s="46" t="s">
        <v>9</v>
      </c>
      <c r="C56" s="46">
        <v>46357</v>
      </c>
      <c r="D56" s="47" t="s">
        <v>32</v>
      </c>
      <c r="E56" s="47" t="s">
        <v>94</v>
      </c>
      <c r="F56" s="48">
        <v>120</v>
      </c>
      <c r="G56" s="48" t="s">
        <v>105</v>
      </c>
      <c r="K56" s="50" t="s">
        <v>185</v>
      </c>
      <c r="L56" s="65">
        <v>116.85</v>
      </c>
      <c r="M56" s="31"/>
      <c r="O56" s="30">
        <f>SUM(O53:O55)</f>
        <v>171.9</v>
      </c>
    </row>
    <row r="57" spans="2:18" x14ac:dyDescent="0.25">
      <c r="B57" s="46" t="s">
        <v>9</v>
      </c>
      <c r="C57" s="46">
        <v>46357</v>
      </c>
      <c r="D57" s="47" t="s">
        <v>32</v>
      </c>
      <c r="E57" s="47" t="s">
        <v>95</v>
      </c>
      <c r="F57" s="48">
        <v>50</v>
      </c>
      <c r="G57" s="48" t="s">
        <v>105</v>
      </c>
      <c r="K57" s="47" t="s">
        <v>96</v>
      </c>
      <c r="L57" s="48">
        <v>160</v>
      </c>
      <c r="M57" s="31"/>
    </row>
    <row r="58" spans="2:18" x14ac:dyDescent="0.25">
      <c r="B58" s="49" t="s">
        <v>9</v>
      </c>
      <c r="C58" s="49">
        <v>46357</v>
      </c>
      <c r="D58" s="50" t="s">
        <v>32</v>
      </c>
      <c r="E58" s="50" t="s">
        <v>101</v>
      </c>
      <c r="F58" s="51">
        <v>20</v>
      </c>
      <c r="G58" s="50" t="s">
        <v>70</v>
      </c>
      <c r="K58" s="47" t="s">
        <v>158</v>
      </c>
      <c r="L58" s="48">
        <f>F64</f>
        <v>171.9</v>
      </c>
      <c r="M58" s="31"/>
      <c r="N58" s="32" t="s">
        <v>105</v>
      </c>
    </row>
    <row r="59" spans="2:18" x14ac:dyDescent="0.25">
      <c r="B59" s="49" t="s">
        <v>9</v>
      </c>
      <c r="C59" s="49">
        <v>46357</v>
      </c>
      <c r="D59" s="49" t="s">
        <v>63</v>
      </c>
      <c r="E59" s="49" t="s">
        <v>159</v>
      </c>
      <c r="F59" s="51">
        <v>245.75</v>
      </c>
      <c r="G59" s="49" t="s">
        <v>70</v>
      </c>
      <c r="K59" s="47" t="s">
        <v>102</v>
      </c>
      <c r="L59" s="48">
        <f>F65</f>
        <v>249</v>
      </c>
      <c r="M59" s="31"/>
      <c r="N59" s="82" t="s">
        <v>198</v>
      </c>
      <c r="O59" s="83">
        <f>700-O64</f>
        <v>451</v>
      </c>
    </row>
    <row r="60" spans="2:18" x14ac:dyDescent="0.25">
      <c r="B60" s="43" t="s">
        <v>9</v>
      </c>
      <c r="C60" s="43">
        <v>46357</v>
      </c>
      <c r="D60" s="44" t="s">
        <v>33</v>
      </c>
      <c r="E60" s="44" t="s">
        <v>201</v>
      </c>
      <c r="F60" s="45">
        <v>120</v>
      </c>
      <c r="G60" s="44" t="s">
        <v>73</v>
      </c>
      <c r="K60" s="50" t="s">
        <v>184</v>
      </c>
      <c r="L60" s="51">
        <v>143.16</v>
      </c>
      <c r="M60" s="31"/>
    </row>
    <row r="61" spans="2:18" x14ac:dyDescent="0.25">
      <c r="B61" s="46" t="s">
        <v>9</v>
      </c>
      <c r="C61" s="43">
        <v>46357</v>
      </c>
      <c r="D61" s="47" t="s">
        <v>32</v>
      </c>
      <c r="E61" s="47" t="s">
        <v>193</v>
      </c>
      <c r="F61" s="48">
        <v>0</v>
      </c>
      <c r="G61" s="47" t="s">
        <v>70</v>
      </c>
      <c r="K61" s="49" t="s">
        <v>176</v>
      </c>
      <c r="L61" s="51">
        <v>1520</v>
      </c>
      <c r="M61" s="31"/>
      <c r="N61" s="51" t="s">
        <v>93</v>
      </c>
      <c r="O61" s="51">
        <v>79</v>
      </c>
    </row>
    <row r="62" spans="2:18" x14ac:dyDescent="0.25">
      <c r="B62" s="64" t="s">
        <v>9</v>
      </c>
      <c r="C62" s="64">
        <v>46357</v>
      </c>
      <c r="D62" s="50" t="s">
        <v>63</v>
      </c>
      <c r="E62" s="50" t="s">
        <v>185</v>
      </c>
      <c r="F62" s="65">
        <v>116.85</v>
      </c>
      <c r="G62" s="50" t="s">
        <v>70</v>
      </c>
      <c r="K62" s="49" t="s">
        <v>98</v>
      </c>
      <c r="L62" s="51">
        <v>15</v>
      </c>
      <c r="N62" s="47" t="s">
        <v>94</v>
      </c>
      <c r="O62" s="48">
        <v>120</v>
      </c>
    </row>
    <row r="63" spans="2:18" x14ac:dyDescent="0.25">
      <c r="B63" s="46" t="s">
        <v>9</v>
      </c>
      <c r="C63" s="46">
        <v>46361</v>
      </c>
      <c r="D63" s="47" t="s">
        <v>32</v>
      </c>
      <c r="E63" s="47" t="s">
        <v>96</v>
      </c>
      <c r="F63" s="48">
        <v>160</v>
      </c>
      <c r="G63" s="47" t="s">
        <v>70</v>
      </c>
      <c r="L63" s="30">
        <f>SUM(L53:L62)</f>
        <v>2641.66</v>
      </c>
      <c r="N63" s="47" t="s">
        <v>95</v>
      </c>
      <c r="O63" s="48">
        <v>50</v>
      </c>
    </row>
    <row r="64" spans="2:18" x14ac:dyDescent="0.25">
      <c r="B64" s="46" t="s">
        <v>9</v>
      </c>
      <c r="C64" s="46">
        <v>46361</v>
      </c>
      <c r="D64" s="47" t="s">
        <v>32</v>
      </c>
      <c r="E64" s="47" t="s">
        <v>158</v>
      </c>
      <c r="F64" s="48">
        <f>O31</f>
        <v>171.9</v>
      </c>
      <c r="G64" s="47" t="s">
        <v>70</v>
      </c>
      <c r="O64" s="30">
        <f>SUM(O61:O63)</f>
        <v>249</v>
      </c>
    </row>
    <row r="65" spans="1:18" x14ac:dyDescent="0.25">
      <c r="B65" s="46" t="s">
        <v>9</v>
      </c>
      <c r="C65" s="46">
        <v>46361</v>
      </c>
      <c r="D65" s="47" t="s">
        <v>32</v>
      </c>
      <c r="E65" s="47" t="s">
        <v>102</v>
      </c>
      <c r="F65" s="48">
        <f>O39</f>
        <v>249</v>
      </c>
      <c r="G65" s="47" t="s">
        <v>70</v>
      </c>
    </row>
    <row r="66" spans="1:18" x14ac:dyDescent="0.25">
      <c r="B66" s="49" t="s">
        <v>9</v>
      </c>
      <c r="C66" s="49">
        <v>46371</v>
      </c>
      <c r="D66" s="50" t="s">
        <v>63</v>
      </c>
      <c r="E66" s="50" t="s">
        <v>184</v>
      </c>
      <c r="F66" s="51">
        <v>143.16</v>
      </c>
      <c r="G66" s="50" t="s">
        <v>70</v>
      </c>
      <c r="N66" s="60" t="s">
        <v>202</v>
      </c>
    </row>
    <row r="67" spans="1:18" x14ac:dyDescent="0.25">
      <c r="B67" s="49" t="s">
        <v>9</v>
      </c>
      <c r="C67" s="49">
        <v>46371</v>
      </c>
      <c r="D67" s="49" t="s">
        <v>32</v>
      </c>
      <c r="E67" s="49" t="s">
        <v>99</v>
      </c>
      <c r="F67" s="51">
        <v>39.9</v>
      </c>
      <c r="G67" s="49" t="s">
        <v>73</v>
      </c>
      <c r="N67" s="61" t="s">
        <v>189</v>
      </c>
      <c r="O67" s="62">
        <v>3300</v>
      </c>
    </row>
    <row r="68" spans="1:18" x14ac:dyDescent="0.25">
      <c r="B68" s="46" t="s">
        <v>5</v>
      </c>
      <c r="C68" s="46">
        <v>46371</v>
      </c>
      <c r="D68" s="47" t="s">
        <v>43</v>
      </c>
      <c r="E68" s="47" t="s">
        <v>189</v>
      </c>
      <c r="F68" s="48">
        <v>2700</v>
      </c>
      <c r="G68" s="47" t="s">
        <v>70</v>
      </c>
    </row>
    <row r="69" spans="1:18" x14ac:dyDescent="0.25">
      <c r="B69" s="49" t="s">
        <v>9</v>
      </c>
      <c r="C69" s="49">
        <v>46371</v>
      </c>
      <c r="D69" s="49" t="s">
        <v>42</v>
      </c>
      <c r="E69" s="49" t="s">
        <v>176</v>
      </c>
      <c r="F69" s="51">
        <v>1520</v>
      </c>
      <c r="G69" s="50" t="s">
        <v>70</v>
      </c>
    </row>
    <row r="70" spans="1:18" x14ac:dyDescent="0.25">
      <c r="B70" s="49" t="s">
        <v>9</v>
      </c>
      <c r="C70" s="49">
        <v>46379</v>
      </c>
      <c r="D70" s="49" t="s">
        <v>32</v>
      </c>
      <c r="E70" s="49" t="s">
        <v>98</v>
      </c>
      <c r="F70" s="51">
        <v>15</v>
      </c>
      <c r="G70" s="50" t="s">
        <v>70</v>
      </c>
    </row>
    <row r="72" spans="1:18" s="87" customFormat="1" x14ac:dyDescent="0.25">
      <c r="A72" s="86"/>
    </row>
    <row r="74" spans="1:18" x14ac:dyDescent="0.25">
      <c r="B74" s="129" t="s">
        <v>192</v>
      </c>
      <c r="C74" s="130"/>
      <c r="D74" s="131"/>
      <c r="E74" s="136" t="s">
        <v>8</v>
      </c>
      <c r="F74" s="136"/>
      <c r="G74" s="136"/>
      <c r="K74" s="32" t="s">
        <v>70</v>
      </c>
      <c r="N74" s="32" t="s">
        <v>73</v>
      </c>
    </row>
    <row r="75" spans="1:18" x14ac:dyDescent="0.25">
      <c r="B75" s="27" t="s">
        <v>0</v>
      </c>
      <c r="C75" s="27" t="s">
        <v>89</v>
      </c>
      <c r="D75" s="28" t="s">
        <v>90</v>
      </c>
      <c r="E75" s="28" t="s">
        <v>36</v>
      </c>
      <c r="F75" s="29" t="s">
        <v>37</v>
      </c>
      <c r="G75" s="29" t="s">
        <v>67</v>
      </c>
      <c r="K75" t="s">
        <v>197</v>
      </c>
      <c r="L75" s="30">
        <f>F77-L86+F76</f>
        <v>734.82000000000016</v>
      </c>
      <c r="N75" t="s">
        <v>198</v>
      </c>
      <c r="O75" s="30">
        <f>1000-O80</f>
        <v>828.1</v>
      </c>
      <c r="Q75" s="33" t="s">
        <v>199</v>
      </c>
      <c r="R75" s="40">
        <f>L75+O75+O83</f>
        <v>2013.92</v>
      </c>
    </row>
    <row r="76" spans="1:18" x14ac:dyDescent="0.25">
      <c r="B76" s="46" t="s">
        <v>5</v>
      </c>
      <c r="C76" s="46">
        <v>46388</v>
      </c>
      <c r="D76" s="47" t="s">
        <v>43</v>
      </c>
      <c r="E76" s="47" t="s">
        <v>92</v>
      </c>
      <c r="F76" s="48">
        <v>0</v>
      </c>
      <c r="G76" s="47" t="s">
        <v>70</v>
      </c>
    </row>
    <row r="77" spans="1:18" x14ac:dyDescent="0.25">
      <c r="B77" s="48" t="s">
        <v>5</v>
      </c>
      <c r="C77" s="46">
        <v>46388</v>
      </c>
      <c r="D77" s="48" t="s">
        <v>6</v>
      </c>
      <c r="E77" s="48" t="s">
        <v>6</v>
      </c>
      <c r="F77" s="48">
        <v>2259.63</v>
      </c>
      <c r="G77" s="48" t="s">
        <v>70</v>
      </c>
      <c r="K77" s="50" t="s">
        <v>101</v>
      </c>
      <c r="L77" s="51">
        <v>20</v>
      </c>
      <c r="M77" s="31"/>
      <c r="N77" s="49" t="s">
        <v>76</v>
      </c>
      <c r="O77" s="51">
        <v>12</v>
      </c>
    </row>
    <row r="78" spans="1:18" x14ac:dyDescent="0.25">
      <c r="B78" s="51" t="s">
        <v>9</v>
      </c>
      <c r="C78" s="49">
        <v>46388</v>
      </c>
      <c r="D78" s="51" t="s">
        <v>32</v>
      </c>
      <c r="E78" s="49" t="s">
        <v>76</v>
      </c>
      <c r="F78" s="51">
        <v>12</v>
      </c>
      <c r="G78" s="49" t="s">
        <v>73</v>
      </c>
      <c r="K78" s="49" t="s">
        <v>159</v>
      </c>
      <c r="L78" s="51">
        <v>245.75</v>
      </c>
      <c r="M78" s="31"/>
      <c r="N78" s="44" t="s">
        <v>201</v>
      </c>
      <c r="O78" s="45">
        <v>120</v>
      </c>
    </row>
    <row r="79" spans="1:18" x14ac:dyDescent="0.25">
      <c r="B79" s="51" t="s">
        <v>9</v>
      </c>
      <c r="C79" s="49">
        <v>46388</v>
      </c>
      <c r="D79" s="51" t="s">
        <v>32</v>
      </c>
      <c r="E79" s="51" t="s">
        <v>93</v>
      </c>
      <c r="F79" s="51">
        <v>79</v>
      </c>
      <c r="G79" s="51" t="s">
        <v>105</v>
      </c>
      <c r="K79" s="47" t="s">
        <v>193</v>
      </c>
      <c r="L79" s="48">
        <f>F85</f>
        <v>0</v>
      </c>
      <c r="M79" s="31"/>
      <c r="N79" s="49" t="s">
        <v>99</v>
      </c>
      <c r="O79" s="51">
        <v>39.9</v>
      </c>
    </row>
    <row r="80" spans="1:18" x14ac:dyDescent="0.25">
      <c r="B80" s="46" t="s">
        <v>9</v>
      </c>
      <c r="C80" s="46">
        <v>46388</v>
      </c>
      <c r="D80" s="47" t="s">
        <v>32</v>
      </c>
      <c r="E80" s="47" t="s">
        <v>94</v>
      </c>
      <c r="F80" s="48">
        <v>120</v>
      </c>
      <c r="G80" s="48" t="s">
        <v>105</v>
      </c>
      <c r="K80" s="47" t="s">
        <v>96</v>
      </c>
      <c r="L80" s="48">
        <v>160</v>
      </c>
      <c r="M80" s="31"/>
      <c r="O80" s="30">
        <f>SUM(O77:O79)</f>
        <v>171.9</v>
      </c>
    </row>
    <row r="81" spans="1:15" x14ac:dyDescent="0.25">
      <c r="B81" s="46" t="s">
        <v>9</v>
      </c>
      <c r="C81" s="46">
        <v>46388</v>
      </c>
      <c r="D81" s="47" t="s">
        <v>32</v>
      </c>
      <c r="E81" s="47" t="s">
        <v>95</v>
      </c>
      <c r="F81" s="48">
        <v>50</v>
      </c>
      <c r="G81" s="48" t="s">
        <v>105</v>
      </c>
      <c r="K81" s="47" t="s">
        <v>158</v>
      </c>
      <c r="L81" s="48">
        <f>F87</f>
        <v>171.9</v>
      </c>
      <c r="M81" s="31"/>
    </row>
    <row r="82" spans="1:15" x14ac:dyDescent="0.25">
      <c r="B82" s="49" t="s">
        <v>9</v>
      </c>
      <c r="C82" s="49">
        <v>46388</v>
      </c>
      <c r="D82" s="50" t="s">
        <v>32</v>
      </c>
      <c r="E82" s="50" t="s">
        <v>101</v>
      </c>
      <c r="F82" s="51">
        <v>20</v>
      </c>
      <c r="G82" s="50" t="s">
        <v>70</v>
      </c>
      <c r="K82" s="47" t="s">
        <v>102</v>
      </c>
      <c r="L82" s="48">
        <f>F88</f>
        <v>249</v>
      </c>
      <c r="M82" s="31"/>
      <c r="N82" s="32" t="s">
        <v>105</v>
      </c>
    </row>
    <row r="83" spans="1:15" x14ac:dyDescent="0.25">
      <c r="B83" s="49" t="s">
        <v>9</v>
      </c>
      <c r="C83" s="49">
        <v>46388</v>
      </c>
      <c r="D83" s="49" t="s">
        <v>63</v>
      </c>
      <c r="E83" s="49" t="s">
        <v>159</v>
      </c>
      <c r="F83" s="51">
        <v>245.75</v>
      </c>
      <c r="G83" s="49" t="s">
        <v>70</v>
      </c>
      <c r="K83" s="50" t="s">
        <v>184</v>
      </c>
      <c r="L83" s="51">
        <v>143.16</v>
      </c>
      <c r="M83" s="31"/>
      <c r="N83" s="82" t="s">
        <v>198</v>
      </c>
      <c r="O83" s="83">
        <f>700-O88</f>
        <v>451</v>
      </c>
    </row>
    <row r="84" spans="1:15" x14ac:dyDescent="0.25">
      <c r="B84" s="43" t="s">
        <v>9</v>
      </c>
      <c r="C84" s="43">
        <v>46388</v>
      </c>
      <c r="D84" s="44" t="s">
        <v>33</v>
      </c>
      <c r="E84" s="44" t="s">
        <v>201</v>
      </c>
      <c r="F84" s="45">
        <v>120</v>
      </c>
      <c r="G84" s="44" t="s">
        <v>73</v>
      </c>
      <c r="K84" s="49" t="s">
        <v>176</v>
      </c>
      <c r="L84" s="51">
        <f>F91</f>
        <v>520</v>
      </c>
      <c r="M84" s="31"/>
    </row>
    <row r="85" spans="1:15" x14ac:dyDescent="0.25">
      <c r="B85" s="46" t="s">
        <v>9</v>
      </c>
      <c r="C85" s="43">
        <v>46388</v>
      </c>
      <c r="D85" s="47" t="s">
        <v>32</v>
      </c>
      <c r="E85" s="47" t="s">
        <v>193</v>
      </c>
      <c r="F85" s="48">
        <v>0</v>
      </c>
      <c r="G85" s="47" t="s">
        <v>70</v>
      </c>
      <c r="K85" s="49" t="s">
        <v>98</v>
      </c>
      <c r="L85" s="51">
        <v>15</v>
      </c>
      <c r="M85" s="31"/>
      <c r="N85" s="51" t="s">
        <v>93</v>
      </c>
      <c r="O85" s="51">
        <v>79</v>
      </c>
    </row>
    <row r="86" spans="1:15" x14ac:dyDescent="0.25">
      <c r="B86" s="46" t="s">
        <v>9</v>
      </c>
      <c r="C86" s="46">
        <v>46392</v>
      </c>
      <c r="D86" s="47" t="s">
        <v>32</v>
      </c>
      <c r="E86" s="47" t="s">
        <v>96</v>
      </c>
      <c r="F86" s="48">
        <v>160</v>
      </c>
      <c r="G86" s="47" t="s">
        <v>70</v>
      </c>
      <c r="L86" s="30">
        <f>SUM(L77:L85)</f>
        <v>1524.81</v>
      </c>
      <c r="N86" s="47" t="s">
        <v>94</v>
      </c>
      <c r="O86" s="48">
        <v>120</v>
      </c>
    </row>
    <row r="87" spans="1:15" x14ac:dyDescent="0.25">
      <c r="B87" s="46" t="s">
        <v>9</v>
      </c>
      <c r="C87" s="46">
        <v>46392</v>
      </c>
      <c r="D87" s="47" t="s">
        <v>32</v>
      </c>
      <c r="E87" s="47" t="s">
        <v>158</v>
      </c>
      <c r="F87" s="48">
        <f>O56</f>
        <v>171.9</v>
      </c>
      <c r="G87" s="47" t="s">
        <v>70</v>
      </c>
      <c r="N87" s="47" t="s">
        <v>95</v>
      </c>
      <c r="O87" s="48">
        <v>50</v>
      </c>
    </row>
    <row r="88" spans="1:15" x14ac:dyDescent="0.25">
      <c r="B88" s="46" t="s">
        <v>9</v>
      </c>
      <c r="C88" s="46">
        <v>46392</v>
      </c>
      <c r="D88" s="47" t="s">
        <v>32</v>
      </c>
      <c r="E88" s="47" t="s">
        <v>102</v>
      </c>
      <c r="F88" s="48">
        <f>O64</f>
        <v>249</v>
      </c>
      <c r="G88" s="47" t="s">
        <v>70</v>
      </c>
      <c r="O88" s="30">
        <f>SUM(O85:O87)</f>
        <v>249</v>
      </c>
    </row>
    <row r="89" spans="1:15" x14ac:dyDescent="0.25">
      <c r="B89" s="49" t="s">
        <v>9</v>
      </c>
      <c r="C89" s="49">
        <v>46402</v>
      </c>
      <c r="D89" s="50" t="s">
        <v>63</v>
      </c>
      <c r="E89" s="50" t="s">
        <v>184</v>
      </c>
      <c r="F89" s="51">
        <v>143.16</v>
      </c>
      <c r="G89" s="50" t="s">
        <v>70</v>
      </c>
    </row>
    <row r="90" spans="1:15" x14ac:dyDescent="0.25">
      <c r="B90" s="49" t="s">
        <v>9</v>
      </c>
      <c r="C90" s="49">
        <v>46402</v>
      </c>
      <c r="D90" s="49" t="s">
        <v>32</v>
      </c>
      <c r="E90" s="49" t="s">
        <v>99</v>
      </c>
      <c r="F90" s="51">
        <v>39.9</v>
      </c>
      <c r="G90" s="49" t="s">
        <v>73</v>
      </c>
    </row>
    <row r="91" spans="1:15" x14ac:dyDescent="0.25">
      <c r="B91" s="49" t="s">
        <v>9</v>
      </c>
      <c r="C91" s="49">
        <v>46402</v>
      </c>
      <c r="D91" s="49" t="s">
        <v>42</v>
      </c>
      <c r="E91" s="49" t="s">
        <v>176</v>
      </c>
      <c r="F91" s="51">
        <v>520</v>
      </c>
      <c r="G91" s="50" t="s">
        <v>70</v>
      </c>
    </row>
    <row r="92" spans="1:15" x14ac:dyDescent="0.25">
      <c r="B92" s="49" t="s">
        <v>9</v>
      </c>
      <c r="C92" s="49">
        <v>46410</v>
      </c>
      <c r="D92" s="49" t="s">
        <v>32</v>
      </c>
      <c r="E92" s="49" t="s">
        <v>98</v>
      </c>
      <c r="F92" s="51">
        <v>15</v>
      </c>
      <c r="G92" s="50" t="s">
        <v>70</v>
      </c>
    </row>
    <row r="94" spans="1:15" s="87" customFormat="1" x14ac:dyDescent="0.25">
      <c r="A94" s="86"/>
    </row>
    <row r="96" spans="1:15" x14ac:dyDescent="0.25">
      <c r="B96" s="129" t="s">
        <v>192</v>
      </c>
      <c r="C96" s="130"/>
      <c r="D96" s="131"/>
      <c r="E96" s="136" t="s">
        <v>12</v>
      </c>
      <c r="F96" s="136"/>
      <c r="G96" s="136"/>
      <c r="K96" s="32" t="s">
        <v>70</v>
      </c>
      <c r="N96" s="32" t="s">
        <v>73</v>
      </c>
    </row>
    <row r="97" spans="2:18" x14ac:dyDescent="0.25">
      <c r="B97" s="27" t="s">
        <v>0</v>
      </c>
      <c r="C97" s="27" t="s">
        <v>89</v>
      </c>
      <c r="D97" s="28" t="s">
        <v>90</v>
      </c>
      <c r="E97" s="28" t="s">
        <v>36</v>
      </c>
      <c r="F97" s="29" t="s">
        <v>37</v>
      </c>
      <c r="G97" s="29" t="s">
        <v>67</v>
      </c>
      <c r="K97" t="s">
        <v>197</v>
      </c>
      <c r="L97" s="30">
        <f>F99-L109+F98</f>
        <v>234.81999999999994</v>
      </c>
      <c r="N97" t="s">
        <v>198</v>
      </c>
      <c r="O97" s="30">
        <f>1000-O102</f>
        <v>828.1</v>
      </c>
      <c r="Q97" s="33" t="s">
        <v>199</v>
      </c>
      <c r="R97" s="40">
        <f>L97+O97+O105</f>
        <v>1513.92</v>
      </c>
    </row>
    <row r="98" spans="2:18" x14ac:dyDescent="0.25">
      <c r="B98" s="46" t="s">
        <v>5</v>
      </c>
      <c r="C98" s="46">
        <v>46419</v>
      </c>
      <c r="D98" s="47" t="s">
        <v>43</v>
      </c>
      <c r="E98" s="47" t="s">
        <v>92</v>
      </c>
      <c r="F98" s="48">
        <v>0</v>
      </c>
      <c r="G98" s="47" t="s">
        <v>70</v>
      </c>
    </row>
    <row r="99" spans="2:18" x14ac:dyDescent="0.25">
      <c r="B99" s="48" t="s">
        <v>5</v>
      </c>
      <c r="C99" s="46">
        <v>46419</v>
      </c>
      <c r="D99" s="48" t="s">
        <v>6</v>
      </c>
      <c r="E99" s="48" t="s">
        <v>6</v>
      </c>
      <c r="F99" s="48">
        <v>2259.63</v>
      </c>
      <c r="G99" s="48" t="s">
        <v>70</v>
      </c>
      <c r="K99" s="50" t="s">
        <v>101</v>
      </c>
      <c r="L99" s="51">
        <v>20</v>
      </c>
      <c r="M99" s="31"/>
      <c r="N99" s="49" t="s">
        <v>76</v>
      </c>
      <c r="O99" s="51">
        <v>12</v>
      </c>
    </row>
    <row r="100" spans="2:18" x14ac:dyDescent="0.25">
      <c r="B100" s="51" t="s">
        <v>9</v>
      </c>
      <c r="C100" s="49">
        <v>46419</v>
      </c>
      <c r="D100" s="51" t="s">
        <v>32</v>
      </c>
      <c r="E100" s="49" t="s">
        <v>76</v>
      </c>
      <c r="F100" s="51">
        <v>12</v>
      </c>
      <c r="G100" s="49" t="s">
        <v>73</v>
      </c>
      <c r="K100" s="49" t="s">
        <v>159</v>
      </c>
      <c r="L100" s="51">
        <v>245.75</v>
      </c>
      <c r="M100" s="31"/>
      <c r="N100" s="44" t="s">
        <v>201</v>
      </c>
      <c r="O100" s="45">
        <v>120</v>
      </c>
    </row>
    <row r="101" spans="2:18" x14ac:dyDescent="0.25">
      <c r="B101" s="51" t="s">
        <v>9</v>
      </c>
      <c r="C101" s="49">
        <v>46419</v>
      </c>
      <c r="D101" s="51" t="s">
        <v>32</v>
      </c>
      <c r="E101" s="51" t="s">
        <v>93</v>
      </c>
      <c r="F101" s="51">
        <v>79</v>
      </c>
      <c r="G101" s="51" t="s">
        <v>105</v>
      </c>
      <c r="K101" s="47" t="s">
        <v>193</v>
      </c>
      <c r="L101" s="48">
        <v>0</v>
      </c>
      <c r="M101" s="31"/>
      <c r="N101" s="49" t="s">
        <v>99</v>
      </c>
      <c r="O101" s="51">
        <v>39.9</v>
      </c>
    </row>
    <row r="102" spans="2:18" x14ac:dyDescent="0.25">
      <c r="B102" s="46" t="s">
        <v>9</v>
      </c>
      <c r="C102" s="46">
        <v>46419</v>
      </c>
      <c r="D102" s="47" t="s">
        <v>32</v>
      </c>
      <c r="E102" s="47" t="s">
        <v>94</v>
      </c>
      <c r="F102" s="48">
        <v>120</v>
      </c>
      <c r="G102" s="48" t="s">
        <v>105</v>
      </c>
      <c r="K102" s="49" t="s">
        <v>116</v>
      </c>
      <c r="L102" s="51">
        <v>500</v>
      </c>
      <c r="M102" s="31"/>
      <c r="O102" s="30">
        <f>SUM(O99:O101)</f>
        <v>171.9</v>
      </c>
    </row>
    <row r="103" spans="2:18" x14ac:dyDescent="0.25">
      <c r="B103" s="46" t="s">
        <v>9</v>
      </c>
      <c r="C103" s="46">
        <v>46419</v>
      </c>
      <c r="D103" s="47" t="s">
        <v>32</v>
      </c>
      <c r="E103" s="47" t="s">
        <v>95</v>
      </c>
      <c r="F103" s="48">
        <v>50</v>
      </c>
      <c r="G103" s="48" t="s">
        <v>105</v>
      </c>
      <c r="K103" s="47" t="s">
        <v>96</v>
      </c>
      <c r="L103" s="48">
        <v>160</v>
      </c>
      <c r="M103" s="31"/>
    </row>
    <row r="104" spans="2:18" x14ac:dyDescent="0.25">
      <c r="B104" s="49" t="s">
        <v>9</v>
      </c>
      <c r="C104" s="49">
        <v>46419</v>
      </c>
      <c r="D104" s="50" t="s">
        <v>32</v>
      </c>
      <c r="E104" s="50" t="s">
        <v>101</v>
      </c>
      <c r="F104" s="51">
        <v>20</v>
      </c>
      <c r="G104" s="50" t="s">
        <v>70</v>
      </c>
      <c r="K104" s="47" t="s">
        <v>158</v>
      </c>
      <c r="L104" s="48">
        <f>F110</f>
        <v>171.9</v>
      </c>
      <c r="M104" s="31"/>
      <c r="N104" s="32" t="s">
        <v>105</v>
      </c>
    </row>
    <row r="105" spans="2:18" x14ac:dyDescent="0.25">
      <c r="B105" s="49" t="s">
        <v>9</v>
      </c>
      <c r="C105" s="49">
        <v>46419</v>
      </c>
      <c r="D105" s="49" t="s">
        <v>63</v>
      </c>
      <c r="E105" s="49" t="s">
        <v>159</v>
      </c>
      <c r="F105" s="51">
        <v>245.75</v>
      </c>
      <c r="G105" s="49" t="s">
        <v>70</v>
      </c>
      <c r="K105" s="47" t="s">
        <v>102</v>
      </c>
      <c r="L105" s="48">
        <f>F111</f>
        <v>249</v>
      </c>
      <c r="M105" s="31"/>
      <c r="N105" s="82" t="s">
        <v>198</v>
      </c>
      <c r="O105" s="83">
        <f>700-O110</f>
        <v>451</v>
      </c>
    </row>
    <row r="106" spans="2:18" x14ac:dyDescent="0.25">
      <c r="B106" s="43" t="s">
        <v>9</v>
      </c>
      <c r="C106" s="43">
        <v>46419</v>
      </c>
      <c r="D106" s="44" t="s">
        <v>33</v>
      </c>
      <c r="E106" s="44" t="s">
        <v>201</v>
      </c>
      <c r="F106" s="45">
        <v>120</v>
      </c>
      <c r="G106" s="44" t="s">
        <v>73</v>
      </c>
      <c r="K106" s="50" t="s">
        <v>184</v>
      </c>
      <c r="L106" s="51">
        <v>143.16</v>
      </c>
      <c r="M106" s="31"/>
    </row>
    <row r="107" spans="2:18" x14ac:dyDescent="0.25">
      <c r="B107" s="46" t="s">
        <v>9</v>
      </c>
      <c r="C107" s="43">
        <v>46419</v>
      </c>
      <c r="D107" s="47" t="s">
        <v>32</v>
      </c>
      <c r="E107" s="47" t="s">
        <v>193</v>
      </c>
      <c r="F107" s="48">
        <v>0</v>
      </c>
      <c r="G107" s="47" t="s">
        <v>70</v>
      </c>
      <c r="K107" s="49" t="s">
        <v>176</v>
      </c>
      <c r="L107" s="51">
        <f>F114</f>
        <v>520</v>
      </c>
      <c r="M107" s="31"/>
      <c r="N107" s="51" t="s">
        <v>93</v>
      </c>
      <c r="O107" s="51">
        <v>79</v>
      </c>
    </row>
    <row r="108" spans="2:18" x14ac:dyDescent="0.25">
      <c r="B108" s="49" t="s">
        <v>9</v>
      </c>
      <c r="C108" s="49">
        <v>46419</v>
      </c>
      <c r="D108" s="49" t="s">
        <v>63</v>
      </c>
      <c r="E108" s="49" t="s">
        <v>116</v>
      </c>
      <c r="F108" s="51">
        <v>500</v>
      </c>
      <c r="G108" s="49" t="s">
        <v>70</v>
      </c>
      <c r="K108" s="49" t="s">
        <v>98</v>
      </c>
      <c r="L108" s="51">
        <v>15</v>
      </c>
      <c r="N108" s="47" t="s">
        <v>94</v>
      </c>
      <c r="O108" s="48">
        <v>120</v>
      </c>
    </row>
    <row r="109" spans="2:18" x14ac:dyDescent="0.25">
      <c r="B109" s="46" t="s">
        <v>9</v>
      </c>
      <c r="C109" s="46">
        <v>46423</v>
      </c>
      <c r="D109" s="47" t="s">
        <v>32</v>
      </c>
      <c r="E109" s="47" t="s">
        <v>96</v>
      </c>
      <c r="F109" s="48">
        <v>160</v>
      </c>
      <c r="G109" s="47" t="s">
        <v>70</v>
      </c>
      <c r="L109" s="30">
        <f>SUM(L99:L108)</f>
        <v>2024.8100000000002</v>
      </c>
      <c r="N109" s="47" t="s">
        <v>95</v>
      </c>
      <c r="O109" s="48">
        <v>50</v>
      </c>
    </row>
    <row r="110" spans="2:18" x14ac:dyDescent="0.25">
      <c r="B110" s="46" t="s">
        <v>9</v>
      </c>
      <c r="C110" s="46">
        <v>46423</v>
      </c>
      <c r="D110" s="47" t="s">
        <v>32</v>
      </c>
      <c r="E110" s="47" t="s">
        <v>158</v>
      </c>
      <c r="F110" s="48">
        <f>O80</f>
        <v>171.9</v>
      </c>
      <c r="G110" s="47" t="s">
        <v>70</v>
      </c>
      <c r="O110" s="30">
        <f>SUM(O107:O109)</f>
        <v>249</v>
      </c>
    </row>
    <row r="111" spans="2:18" x14ac:dyDescent="0.25">
      <c r="B111" s="46" t="s">
        <v>9</v>
      </c>
      <c r="C111" s="46">
        <v>46423</v>
      </c>
      <c r="D111" s="47" t="s">
        <v>32</v>
      </c>
      <c r="E111" s="47" t="s">
        <v>102</v>
      </c>
      <c r="F111" s="48">
        <f>O88</f>
        <v>249</v>
      </c>
      <c r="G111" s="47" t="s">
        <v>70</v>
      </c>
    </row>
    <row r="112" spans="2:18" x14ac:dyDescent="0.25">
      <c r="B112" s="49" t="s">
        <v>9</v>
      </c>
      <c r="C112" s="49">
        <v>46433</v>
      </c>
      <c r="D112" s="50" t="s">
        <v>63</v>
      </c>
      <c r="E112" s="50" t="s">
        <v>184</v>
      </c>
      <c r="F112" s="51">
        <v>143.16</v>
      </c>
      <c r="G112" s="50" t="s">
        <v>70</v>
      </c>
    </row>
    <row r="113" spans="1:18" x14ac:dyDescent="0.25">
      <c r="B113" s="49" t="s">
        <v>9</v>
      </c>
      <c r="C113" s="49">
        <v>46433</v>
      </c>
      <c r="D113" s="49" t="s">
        <v>32</v>
      </c>
      <c r="E113" s="49" t="s">
        <v>99</v>
      </c>
      <c r="F113" s="51">
        <v>39.9</v>
      </c>
      <c r="G113" s="49" t="s">
        <v>73</v>
      </c>
    </row>
    <row r="114" spans="1:18" x14ac:dyDescent="0.25">
      <c r="B114" s="49" t="s">
        <v>9</v>
      </c>
      <c r="C114" s="49">
        <v>46433</v>
      </c>
      <c r="D114" s="49" t="s">
        <v>42</v>
      </c>
      <c r="E114" s="49" t="s">
        <v>176</v>
      </c>
      <c r="F114" s="51">
        <v>520</v>
      </c>
      <c r="G114" s="50" t="s">
        <v>70</v>
      </c>
    </row>
    <row r="115" spans="1:18" x14ac:dyDescent="0.25">
      <c r="B115" s="49" t="s">
        <v>9</v>
      </c>
      <c r="C115" s="49">
        <v>46441</v>
      </c>
      <c r="D115" s="49" t="s">
        <v>32</v>
      </c>
      <c r="E115" s="49" t="s">
        <v>98</v>
      </c>
      <c r="F115" s="51">
        <v>15</v>
      </c>
      <c r="G115" s="50" t="s">
        <v>70</v>
      </c>
    </row>
    <row r="117" spans="1:18" s="87" customFormat="1" x14ac:dyDescent="0.25">
      <c r="A117" s="86"/>
    </row>
    <row r="119" spans="1:18" x14ac:dyDescent="0.25">
      <c r="B119" s="129" t="s">
        <v>192</v>
      </c>
      <c r="C119" s="130"/>
      <c r="D119" s="131"/>
      <c r="E119" s="136" t="s">
        <v>15</v>
      </c>
      <c r="F119" s="136"/>
      <c r="G119" s="136"/>
      <c r="K119" s="32" t="s">
        <v>70</v>
      </c>
      <c r="N119" s="32" t="s">
        <v>73</v>
      </c>
    </row>
    <row r="120" spans="1:18" x14ac:dyDescent="0.25">
      <c r="B120" s="27" t="s">
        <v>0</v>
      </c>
      <c r="C120" s="27" t="s">
        <v>89</v>
      </c>
      <c r="D120" s="28" t="s">
        <v>90</v>
      </c>
      <c r="E120" s="28" t="s">
        <v>36</v>
      </c>
      <c r="F120" s="29" t="s">
        <v>37</v>
      </c>
      <c r="G120" s="29" t="s">
        <v>67</v>
      </c>
      <c r="K120" t="s">
        <v>197</v>
      </c>
      <c r="L120" s="30">
        <f>F122-L131+F121</f>
        <v>480.56999999999994</v>
      </c>
      <c r="N120" t="s">
        <v>198</v>
      </c>
      <c r="O120" s="30">
        <f>1000-O125</f>
        <v>828.1</v>
      </c>
      <c r="Q120" s="33" t="s">
        <v>199</v>
      </c>
      <c r="R120" s="40">
        <f>L120+O120+O128</f>
        <v>1759.67</v>
      </c>
    </row>
    <row r="121" spans="1:18" x14ac:dyDescent="0.25">
      <c r="B121" s="46" t="s">
        <v>5</v>
      </c>
      <c r="C121" s="46">
        <v>46447</v>
      </c>
      <c r="D121" s="47" t="s">
        <v>43</v>
      </c>
      <c r="E121" s="47" t="s">
        <v>92</v>
      </c>
      <c r="F121" s="48">
        <v>0</v>
      </c>
      <c r="G121" s="47" t="s">
        <v>70</v>
      </c>
    </row>
    <row r="122" spans="1:18" x14ac:dyDescent="0.25">
      <c r="B122" s="48" t="s">
        <v>5</v>
      </c>
      <c r="C122" s="46">
        <v>46447</v>
      </c>
      <c r="D122" s="48" t="s">
        <v>6</v>
      </c>
      <c r="E122" s="48" t="s">
        <v>6</v>
      </c>
      <c r="F122" s="48">
        <v>2259.63</v>
      </c>
      <c r="G122" s="48" t="s">
        <v>70</v>
      </c>
      <c r="K122" s="50" t="s">
        <v>101</v>
      </c>
      <c r="L122" s="51">
        <v>20</v>
      </c>
      <c r="M122" s="31"/>
      <c r="N122" s="49" t="s">
        <v>76</v>
      </c>
      <c r="O122" s="51">
        <v>12</v>
      </c>
    </row>
    <row r="123" spans="1:18" x14ac:dyDescent="0.25">
      <c r="B123" s="51" t="s">
        <v>9</v>
      </c>
      <c r="C123" s="49">
        <v>46447</v>
      </c>
      <c r="D123" s="51" t="s">
        <v>32</v>
      </c>
      <c r="E123" s="49" t="s">
        <v>76</v>
      </c>
      <c r="F123" s="51">
        <v>12</v>
      </c>
      <c r="G123" s="49" t="s">
        <v>73</v>
      </c>
      <c r="K123" s="47" t="s">
        <v>193</v>
      </c>
      <c r="L123" s="48">
        <v>0</v>
      </c>
      <c r="M123" s="31"/>
      <c r="N123" s="44" t="s">
        <v>201</v>
      </c>
      <c r="O123" s="45">
        <v>120</v>
      </c>
    </row>
    <row r="124" spans="1:18" x14ac:dyDescent="0.25">
      <c r="B124" s="51" t="s">
        <v>9</v>
      </c>
      <c r="C124" s="49">
        <v>46447</v>
      </c>
      <c r="D124" s="51" t="s">
        <v>32</v>
      </c>
      <c r="E124" s="51" t="s">
        <v>93</v>
      </c>
      <c r="F124" s="51">
        <v>79</v>
      </c>
      <c r="G124" s="51" t="s">
        <v>105</v>
      </c>
      <c r="K124" s="49" t="s">
        <v>116</v>
      </c>
      <c r="L124" s="51">
        <v>500</v>
      </c>
      <c r="M124" s="31"/>
      <c r="N124" s="49" t="s">
        <v>99</v>
      </c>
      <c r="O124" s="51">
        <v>39.9</v>
      </c>
    </row>
    <row r="125" spans="1:18" x14ac:dyDescent="0.25">
      <c r="B125" s="46" t="s">
        <v>9</v>
      </c>
      <c r="C125" s="46">
        <v>46447</v>
      </c>
      <c r="D125" s="47" t="s">
        <v>32</v>
      </c>
      <c r="E125" s="47" t="s">
        <v>94</v>
      </c>
      <c r="F125" s="48">
        <v>120</v>
      </c>
      <c r="G125" s="48" t="s">
        <v>105</v>
      </c>
      <c r="K125" s="47" t="s">
        <v>96</v>
      </c>
      <c r="L125" s="48">
        <v>160</v>
      </c>
      <c r="M125" s="31"/>
      <c r="O125" s="30">
        <f>SUM(O122:O124)</f>
        <v>171.9</v>
      </c>
    </row>
    <row r="126" spans="1:18" x14ac:dyDescent="0.25">
      <c r="B126" s="46" t="s">
        <v>9</v>
      </c>
      <c r="C126" s="46">
        <v>46447</v>
      </c>
      <c r="D126" s="47" t="s">
        <v>32</v>
      </c>
      <c r="E126" s="47" t="s">
        <v>95</v>
      </c>
      <c r="F126" s="48">
        <v>50</v>
      </c>
      <c r="G126" s="48" t="s">
        <v>105</v>
      </c>
      <c r="K126" s="47" t="s">
        <v>158</v>
      </c>
      <c r="L126" s="48">
        <f>F132</f>
        <v>171.9</v>
      </c>
      <c r="M126" s="31"/>
    </row>
    <row r="127" spans="1:18" x14ac:dyDescent="0.25">
      <c r="B127" s="49" t="s">
        <v>9</v>
      </c>
      <c r="C127" s="49">
        <v>46447</v>
      </c>
      <c r="D127" s="50" t="s">
        <v>32</v>
      </c>
      <c r="E127" s="50" t="s">
        <v>101</v>
      </c>
      <c r="F127" s="51">
        <v>20</v>
      </c>
      <c r="G127" s="50" t="s">
        <v>70</v>
      </c>
      <c r="K127" s="47" t="s">
        <v>102</v>
      </c>
      <c r="L127" s="48">
        <f>F133</f>
        <v>249</v>
      </c>
      <c r="M127" s="31"/>
      <c r="N127" s="32" t="s">
        <v>105</v>
      </c>
    </row>
    <row r="128" spans="1:18" x14ac:dyDescent="0.25">
      <c r="B128" s="43" t="s">
        <v>9</v>
      </c>
      <c r="C128" s="43">
        <v>46447</v>
      </c>
      <c r="D128" s="44" t="s">
        <v>33</v>
      </c>
      <c r="E128" s="44" t="s">
        <v>201</v>
      </c>
      <c r="F128" s="45">
        <v>120</v>
      </c>
      <c r="G128" s="44" t="s">
        <v>73</v>
      </c>
      <c r="K128" s="47" t="s">
        <v>184</v>
      </c>
      <c r="L128" s="48">
        <v>143.16</v>
      </c>
      <c r="M128" s="31"/>
      <c r="N128" s="82" t="s">
        <v>198</v>
      </c>
      <c r="O128" s="83">
        <f>700-O133</f>
        <v>451</v>
      </c>
    </row>
    <row r="129" spans="1:18" x14ac:dyDescent="0.25">
      <c r="B129" s="46" t="s">
        <v>9</v>
      </c>
      <c r="C129" s="43">
        <v>46447</v>
      </c>
      <c r="D129" s="47" t="s">
        <v>32</v>
      </c>
      <c r="E129" s="47" t="s">
        <v>193</v>
      </c>
      <c r="F129" s="48">
        <v>0</v>
      </c>
      <c r="G129" s="47" t="s">
        <v>70</v>
      </c>
      <c r="K129" s="49" t="s">
        <v>176</v>
      </c>
      <c r="L129" s="51">
        <f>F136</f>
        <v>520</v>
      </c>
      <c r="M129" s="31"/>
    </row>
    <row r="130" spans="1:18" x14ac:dyDescent="0.25">
      <c r="B130" s="49" t="s">
        <v>9</v>
      </c>
      <c r="C130" s="49">
        <v>46447</v>
      </c>
      <c r="D130" s="49" t="s">
        <v>63</v>
      </c>
      <c r="E130" s="49" t="s">
        <v>116</v>
      </c>
      <c r="F130" s="51">
        <v>500</v>
      </c>
      <c r="G130" s="49" t="s">
        <v>70</v>
      </c>
      <c r="K130" s="49" t="s">
        <v>98</v>
      </c>
      <c r="L130" s="51">
        <v>15</v>
      </c>
      <c r="M130" s="31"/>
      <c r="N130" s="51" t="s">
        <v>93</v>
      </c>
      <c r="O130" s="51">
        <v>79</v>
      </c>
    </row>
    <row r="131" spans="1:18" x14ac:dyDescent="0.25">
      <c r="B131" s="46" t="s">
        <v>9</v>
      </c>
      <c r="C131" s="46">
        <v>46451</v>
      </c>
      <c r="D131" s="47" t="s">
        <v>32</v>
      </c>
      <c r="E131" s="47" t="s">
        <v>96</v>
      </c>
      <c r="F131" s="48">
        <v>160</v>
      </c>
      <c r="G131" s="47" t="s">
        <v>70</v>
      </c>
      <c r="L131" s="30">
        <f>SUM(L122:L130)</f>
        <v>1779.0600000000002</v>
      </c>
      <c r="N131" s="47" t="s">
        <v>94</v>
      </c>
      <c r="O131" s="48">
        <v>120</v>
      </c>
    </row>
    <row r="132" spans="1:18" x14ac:dyDescent="0.25">
      <c r="B132" s="46" t="s">
        <v>9</v>
      </c>
      <c r="C132" s="46">
        <v>46451</v>
      </c>
      <c r="D132" s="47" t="s">
        <v>32</v>
      </c>
      <c r="E132" s="47" t="s">
        <v>158</v>
      </c>
      <c r="F132" s="48">
        <f>O102</f>
        <v>171.9</v>
      </c>
      <c r="G132" s="47" t="s">
        <v>70</v>
      </c>
      <c r="N132" s="47" t="s">
        <v>95</v>
      </c>
      <c r="O132" s="48">
        <v>50</v>
      </c>
    </row>
    <row r="133" spans="1:18" x14ac:dyDescent="0.25">
      <c r="B133" s="46" t="s">
        <v>9</v>
      </c>
      <c r="C133" s="46">
        <v>46451</v>
      </c>
      <c r="D133" s="47" t="s">
        <v>32</v>
      </c>
      <c r="E133" s="47" t="s">
        <v>102</v>
      </c>
      <c r="F133" s="48">
        <f>O110</f>
        <v>249</v>
      </c>
      <c r="G133" s="47" t="s">
        <v>70</v>
      </c>
      <c r="O133" s="30">
        <f>SUM(O130:O132)</f>
        <v>249</v>
      </c>
    </row>
    <row r="134" spans="1:18" x14ac:dyDescent="0.25">
      <c r="B134" s="46" t="s">
        <v>9</v>
      </c>
      <c r="C134" s="46">
        <v>46461</v>
      </c>
      <c r="D134" s="47" t="s">
        <v>63</v>
      </c>
      <c r="E134" s="47" t="s">
        <v>184</v>
      </c>
      <c r="F134" s="48">
        <v>143.16</v>
      </c>
      <c r="G134" s="47" t="s">
        <v>70</v>
      </c>
    </row>
    <row r="135" spans="1:18" x14ac:dyDescent="0.25">
      <c r="B135" s="49" t="s">
        <v>9</v>
      </c>
      <c r="C135" s="49">
        <v>46461</v>
      </c>
      <c r="D135" s="49" t="s">
        <v>32</v>
      </c>
      <c r="E135" s="49" t="s">
        <v>99</v>
      </c>
      <c r="F135" s="51">
        <v>39.9</v>
      </c>
      <c r="G135" s="49" t="s">
        <v>73</v>
      </c>
    </row>
    <row r="136" spans="1:18" x14ac:dyDescent="0.25">
      <c r="B136" s="49" t="s">
        <v>9</v>
      </c>
      <c r="C136" s="49">
        <v>46461</v>
      </c>
      <c r="D136" s="49" t="s">
        <v>42</v>
      </c>
      <c r="E136" s="49" t="s">
        <v>176</v>
      </c>
      <c r="F136" s="51">
        <v>520</v>
      </c>
      <c r="G136" s="50" t="s">
        <v>70</v>
      </c>
    </row>
    <row r="137" spans="1:18" x14ac:dyDescent="0.25">
      <c r="B137" s="49" t="s">
        <v>9</v>
      </c>
      <c r="C137" s="49">
        <v>46469</v>
      </c>
      <c r="D137" s="49" t="s">
        <v>32</v>
      </c>
      <c r="E137" s="49" t="s">
        <v>98</v>
      </c>
      <c r="F137" s="51">
        <v>15</v>
      </c>
      <c r="G137" s="50" t="s">
        <v>70</v>
      </c>
    </row>
    <row r="140" spans="1:18" s="87" customFormat="1" x14ac:dyDescent="0.25">
      <c r="A140" s="86"/>
    </row>
    <row r="142" spans="1:18" x14ac:dyDescent="0.25">
      <c r="B142" s="129" t="s">
        <v>192</v>
      </c>
      <c r="C142" s="130"/>
      <c r="D142" s="131"/>
      <c r="E142" s="136" t="s">
        <v>17</v>
      </c>
      <c r="F142" s="136"/>
      <c r="G142" s="136"/>
      <c r="K142" s="32" t="s">
        <v>70</v>
      </c>
      <c r="N142" s="32" t="s">
        <v>73</v>
      </c>
    </row>
    <row r="143" spans="1:18" x14ac:dyDescent="0.25">
      <c r="B143" s="27" t="s">
        <v>0</v>
      </c>
      <c r="C143" s="27" t="s">
        <v>89</v>
      </c>
      <c r="D143" s="28" t="s">
        <v>90</v>
      </c>
      <c r="E143" s="28" t="s">
        <v>36</v>
      </c>
      <c r="F143" s="29" t="s">
        <v>37</v>
      </c>
      <c r="G143" s="29" t="s">
        <v>67</v>
      </c>
      <c r="K143" t="s">
        <v>197</v>
      </c>
      <c r="L143" s="30">
        <f>F145-L154+F144</f>
        <v>480.56999999999994</v>
      </c>
      <c r="N143" t="s">
        <v>198</v>
      </c>
      <c r="O143" s="30">
        <f>1000-O148</f>
        <v>828.1</v>
      </c>
      <c r="Q143" s="33" t="s">
        <v>199</v>
      </c>
      <c r="R143" s="40">
        <f>L143+O143+O151</f>
        <v>1759.67</v>
      </c>
    </row>
    <row r="144" spans="1:18" x14ac:dyDescent="0.25">
      <c r="B144" s="46" t="s">
        <v>5</v>
      </c>
      <c r="C144" s="46">
        <v>46478</v>
      </c>
      <c r="D144" s="47" t="s">
        <v>43</v>
      </c>
      <c r="E144" s="47" t="s">
        <v>92</v>
      </c>
      <c r="F144" s="48">
        <v>0</v>
      </c>
      <c r="G144" s="47" t="s">
        <v>70</v>
      </c>
    </row>
    <row r="145" spans="2:15" x14ac:dyDescent="0.25">
      <c r="B145" s="48" t="s">
        <v>5</v>
      </c>
      <c r="C145" s="46">
        <v>46478</v>
      </c>
      <c r="D145" s="48" t="s">
        <v>6</v>
      </c>
      <c r="E145" s="48" t="s">
        <v>6</v>
      </c>
      <c r="F145" s="48">
        <v>2259.63</v>
      </c>
      <c r="G145" s="48" t="s">
        <v>70</v>
      </c>
      <c r="K145" s="50" t="s">
        <v>101</v>
      </c>
      <c r="L145" s="51">
        <v>20</v>
      </c>
      <c r="M145" s="31"/>
      <c r="N145" s="49" t="s">
        <v>76</v>
      </c>
      <c r="O145" s="51">
        <v>12</v>
      </c>
    </row>
    <row r="146" spans="2:15" x14ac:dyDescent="0.25">
      <c r="B146" s="51" t="s">
        <v>9</v>
      </c>
      <c r="C146" s="49">
        <v>46478</v>
      </c>
      <c r="D146" s="51" t="s">
        <v>32</v>
      </c>
      <c r="E146" s="49" t="s">
        <v>76</v>
      </c>
      <c r="F146" s="51">
        <v>12</v>
      </c>
      <c r="G146" s="49" t="s">
        <v>73</v>
      </c>
      <c r="K146" s="47" t="s">
        <v>193</v>
      </c>
      <c r="L146" s="48">
        <v>0</v>
      </c>
      <c r="M146" s="31"/>
      <c r="N146" s="44" t="s">
        <v>201</v>
      </c>
      <c r="O146" s="45">
        <v>120</v>
      </c>
    </row>
    <row r="147" spans="2:15" x14ac:dyDescent="0.25">
      <c r="B147" s="51" t="s">
        <v>9</v>
      </c>
      <c r="C147" s="49">
        <v>46478</v>
      </c>
      <c r="D147" s="51" t="s">
        <v>32</v>
      </c>
      <c r="E147" s="51" t="s">
        <v>93</v>
      </c>
      <c r="F147" s="51">
        <v>79</v>
      </c>
      <c r="G147" s="51" t="s">
        <v>105</v>
      </c>
      <c r="K147" s="49" t="s">
        <v>116</v>
      </c>
      <c r="L147" s="51">
        <v>500</v>
      </c>
      <c r="M147" s="31"/>
      <c r="N147" s="49" t="s">
        <v>99</v>
      </c>
      <c r="O147" s="51">
        <v>39.9</v>
      </c>
    </row>
    <row r="148" spans="2:15" x14ac:dyDescent="0.25">
      <c r="B148" s="46" t="s">
        <v>9</v>
      </c>
      <c r="C148" s="46">
        <v>46478</v>
      </c>
      <c r="D148" s="47" t="s">
        <v>32</v>
      </c>
      <c r="E148" s="47" t="s">
        <v>94</v>
      </c>
      <c r="F148" s="48">
        <v>120</v>
      </c>
      <c r="G148" s="48" t="s">
        <v>105</v>
      </c>
      <c r="K148" s="47" t="s">
        <v>96</v>
      </c>
      <c r="L148" s="48">
        <v>160</v>
      </c>
      <c r="M148" s="31"/>
      <c r="O148" s="30">
        <f>SUM(O145:O147)</f>
        <v>171.9</v>
      </c>
    </row>
    <row r="149" spans="2:15" x14ac:dyDescent="0.25">
      <c r="B149" s="46" t="s">
        <v>9</v>
      </c>
      <c r="C149" s="46">
        <v>46478</v>
      </c>
      <c r="D149" s="47" t="s">
        <v>32</v>
      </c>
      <c r="E149" s="47" t="s">
        <v>95</v>
      </c>
      <c r="F149" s="48">
        <v>50</v>
      </c>
      <c r="G149" s="48" t="s">
        <v>105</v>
      </c>
      <c r="K149" s="47" t="s">
        <v>158</v>
      </c>
      <c r="L149" s="48">
        <f>F155</f>
        <v>171.9</v>
      </c>
      <c r="M149" s="31"/>
    </row>
    <row r="150" spans="2:15" x14ac:dyDescent="0.25">
      <c r="B150" s="49" t="s">
        <v>9</v>
      </c>
      <c r="C150" s="49">
        <v>46478</v>
      </c>
      <c r="D150" s="50" t="s">
        <v>32</v>
      </c>
      <c r="E150" s="50" t="s">
        <v>101</v>
      </c>
      <c r="F150" s="51">
        <v>20</v>
      </c>
      <c r="G150" s="50" t="s">
        <v>70</v>
      </c>
      <c r="K150" s="47" t="s">
        <v>102</v>
      </c>
      <c r="L150" s="48">
        <f>F156</f>
        <v>249</v>
      </c>
      <c r="M150" s="31"/>
      <c r="N150" s="32" t="s">
        <v>105</v>
      </c>
    </row>
    <row r="151" spans="2:15" x14ac:dyDescent="0.25">
      <c r="B151" s="43" t="s">
        <v>9</v>
      </c>
      <c r="C151" s="43">
        <v>46478</v>
      </c>
      <c r="D151" s="44" t="s">
        <v>33</v>
      </c>
      <c r="E151" s="44" t="s">
        <v>201</v>
      </c>
      <c r="F151" s="45">
        <v>120</v>
      </c>
      <c r="G151" s="44" t="s">
        <v>73</v>
      </c>
      <c r="K151" s="47" t="s">
        <v>184</v>
      </c>
      <c r="L151" s="48">
        <v>143.16</v>
      </c>
      <c r="M151" s="31"/>
      <c r="N151" s="82" t="s">
        <v>198</v>
      </c>
      <c r="O151" s="83">
        <f>700-O156</f>
        <v>451</v>
      </c>
    </row>
    <row r="152" spans="2:15" x14ac:dyDescent="0.25">
      <c r="B152" s="46" t="s">
        <v>9</v>
      </c>
      <c r="C152" s="43">
        <v>46478</v>
      </c>
      <c r="D152" s="47" t="s">
        <v>32</v>
      </c>
      <c r="E152" s="47" t="s">
        <v>193</v>
      </c>
      <c r="F152" s="48">
        <v>0</v>
      </c>
      <c r="G152" s="47" t="s">
        <v>70</v>
      </c>
      <c r="K152" s="49" t="s">
        <v>176</v>
      </c>
      <c r="L152" s="51">
        <f>F159</f>
        <v>520</v>
      </c>
      <c r="M152" s="31"/>
    </row>
    <row r="153" spans="2:15" x14ac:dyDescent="0.25">
      <c r="B153" s="49" t="s">
        <v>9</v>
      </c>
      <c r="C153" s="49">
        <v>46478</v>
      </c>
      <c r="D153" s="49" t="s">
        <v>63</v>
      </c>
      <c r="E153" s="49" t="s">
        <v>116</v>
      </c>
      <c r="F153" s="51">
        <v>500</v>
      </c>
      <c r="G153" s="49" t="s">
        <v>70</v>
      </c>
      <c r="K153" s="49" t="s">
        <v>98</v>
      </c>
      <c r="L153" s="51">
        <v>15</v>
      </c>
      <c r="M153" s="31"/>
      <c r="N153" s="51" t="s">
        <v>93</v>
      </c>
      <c r="O153" s="51">
        <v>79</v>
      </c>
    </row>
    <row r="154" spans="2:15" x14ac:dyDescent="0.25">
      <c r="B154" s="46" t="s">
        <v>9</v>
      </c>
      <c r="C154" s="46">
        <v>46482</v>
      </c>
      <c r="D154" s="47" t="s">
        <v>32</v>
      </c>
      <c r="E154" s="47" t="s">
        <v>96</v>
      </c>
      <c r="F154" s="48">
        <v>160</v>
      </c>
      <c r="G154" s="47" t="s">
        <v>70</v>
      </c>
      <c r="L154" s="30">
        <f>SUM(L145:L153)</f>
        <v>1779.0600000000002</v>
      </c>
      <c r="N154" s="47" t="s">
        <v>94</v>
      </c>
      <c r="O154" s="48">
        <v>120</v>
      </c>
    </row>
    <row r="155" spans="2:15" x14ac:dyDescent="0.25">
      <c r="B155" s="46" t="s">
        <v>9</v>
      </c>
      <c r="C155" s="46">
        <v>46482</v>
      </c>
      <c r="D155" s="47" t="s">
        <v>32</v>
      </c>
      <c r="E155" s="47" t="s">
        <v>158</v>
      </c>
      <c r="F155" s="48">
        <f>O125</f>
        <v>171.9</v>
      </c>
      <c r="G155" s="47" t="s">
        <v>70</v>
      </c>
      <c r="N155" s="47" t="s">
        <v>95</v>
      </c>
      <c r="O155" s="48">
        <v>50</v>
      </c>
    </row>
    <row r="156" spans="2:15" x14ac:dyDescent="0.25">
      <c r="B156" s="46" t="s">
        <v>9</v>
      </c>
      <c r="C156" s="46">
        <v>46482</v>
      </c>
      <c r="D156" s="47" t="s">
        <v>32</v>
      </c>
      <c r="E156" s="47" t="s">
        <v>102</v>
      </c>
      <c r="F156" s="48">
        <f>O133</f>
        <v>249</v>
      </c>
      <c r="G156" s="47" t="s">
        <v>70</v>
      </c>
      <c r="O156" s="30">
        <f>SUM(O153:O155)</f>
        <v>249</v>
      </c>
    </row>
    <row r="157" spans="2:15" x14ac:dyDescent="0.25">
      <c r="B157" s="46" t="s">
        <v>9</v>
      </c>
      <c r="C157" s="46">
        <v>46492</v>
      </c>
      <c r="D157" s="47" t="s">
        <v>63</v>
      </c>
      <c r="E157" s="47" t="s">
        <v>184</v>
      </c>
      <c r="F157" s="48">
        <v>143.16</v>
      </c>
      <c r="G157" s="47" t="s">
        <v>70</v>
      </c>
    </row>
    <row r="158" spans="2:15" x14ac:dyDescent="0.25">
      <c r="B158" s="49" t="s">
        <v>9</v>
      </c>
      <c r="C158" s="49">
        <v>46492</v>
      </c>
      <c r="D158" s="49" t="s">
        <v>32</v>
      </c>
      <c r="E158" s="49" t="s">
        <v>99</v>
      </c>
      <c r="F158" s="51">
        <v>39.9</v>
      </c>
      <c r="G158" s="49" t="s">
        <v>73</v>
      </c>
    </row>
    <row r="159" spans="2:15" x14ac:dyDescent="0.25">
      <c r="B159" s="49" t="s">
        <v>9</v>
      </c>
      <c r="C159" s="49">
        <v>46492</v>
      </c>
      <c r="D159" s="49" t="s">
        <v>42</v>
      </c>
      <c r="E159" s="49" t="s">
        <v>176</v>
      </c>
      <c r="F159" s="51">
        <v>520</v>
      </c>
      <c r="G159" s="50" t="s">
        <v>70</v>
      </c>
    </row>
    <row r="160" spans="2:15" x14ac:dyDescent="0.25">
      <c r="B160" s="49" t="s">
        <v>9</v>
      </c>
      <c r="C160" s="49">
        <v>46500</v>
      </c>
      <c r="D160" s="49" t="s">
        <v>32</v>
      </c>
      <c r="E160" s="49" t="s">
        <v>98</v>
      </c>
      <c r="F160" s="51">
        <v>15</v>
      </c>
      <c r="G160" s="50" t="s">
        <v>70</v>
      </c>
    </row>
    <row r="162" spans="1:18" s="87" customFormat="1" x14ac:dyDescent="0.25">
      <c r="A162" s="86"/>
    </row>
    <row r="164" spans="1:18" x14ac:dyDescent="0.25">
      <c r="B164" s="129" t="s">
        <v>192</v>
      </c>
      <c r="C164" s="130"/>
      <c r="D164" s="131"/>
      <c r="E164" s="136" t="s">
        <v>18</v>
      </c>
      <c r="F164" s="136"/>
      <c r="G164" s="136"/>
      <c r="K164" s="32" t="s">
        <v>70</v>
      </c>
      <c r="N164" s="32" t="s">
        <v>73</v>
      </c>
    </row>
    <row r="165" spans="1:18" x14ac:dyDescent="0.25">
      <c r="B165" s="27" t="s">
        <v>0</v>
      </c>
      <c r="C165" s="27" t="s">
        <v>89</v>
      </c>
      <c r="D165" s="28" t="s">
        <v>90</v>
      </c>
      <c r="E165" s="28" t="s">
        <v>36</v>
      </c>
      <c r="F165" s="29" t="s">
        <v>37</v>
      </c>
      <c r="G165" s="29" t="s">
        <v>67</v>
      </c>
      <c r="K165" t="s">
        <v>197</v>
      </c>
      <c r="L165" s="30">
        <f>F167-L176+F166</f>
        <v>740.56999999999994</v>
      </c>
      <c r="N165" t="s">
        <v>198</v>
      </c>
      <c r="O165" s="30">
        <f>1000-O170</f>
        <v>828.1</v>
      </c>
      <c r="Q165" s="33" t="s">
        <v>199</v>
      </c>
      <c r="R165" s="40">
        <f>L165+O165+O173</f>
        <v>2019.67</v>
      </c>
    </row>
    <row r="166" spans="1:18" x14ac:dyDescent="0.25">
      <c r="B166" s="46" t="s">
        <v>5</v>
      </c>
      <c r="C166" s="46">
        <v>46508</v>
      </c>
      <c r="D166" s="47" t="s">
        <v>43</v>
      </c>
      <c r="E166" s="47" t="s">
        <v>92</v>
      </c>
      <c r="F166" s="48">
        <v>0</v>
      </c>
      <c r="G166" s="47" t="s">
        <v>70</v>
      </c>
    </row>
    <row r="167" spans="1:18" x14ac:dyDescent="0.25">
      <c r="B167" s="48" t="s">
        <v>5</v>
      </c>
      <c r="C167" s="46">
        <v>46508</v>
      </c>
      <c r="D167" s="48" t="s">
        <v>6</v>
      </c>
      <c r="E167" s="48" t="s">
        <v>6</v>
      </c>
      <c r="F167" s="48">
        <v>2259.63</v>
      </c>
      <c r="G167" s="48" t="s">
        <v>70</v>
      </c>
      <c r="K167" s="50" t="s">
        <v>101</v>
      </c>
      <c r="L167" s="51">
        <v>20</v>
      </c>
      <c r="M167" s="31"/>
      <c r="N167" s="49" t="s">
        <v>76</v>
      </c>
      <c r="O167" s="51">
        <v>12</v>
      </c>
    </row>
    <row r="168" spans="1:18" x14ac:dyDescent="0.25">
      <c r="B168" s="51" t="s">
        <v>9</v>
      </c>
      <c r="C168" s="49">
        <v>46508</v>
      </c>
      <c r="D168" s="51" t="s">
        <v>32</v>
      </c>
      <c r="E168" s="49" t="s">
        <v>76</v>
      </c>
      <c r="F168" s="51">
        <v>12</v>
      </c>
      <c r="G168" s="49" t="s">
        <v>73</v>
      </c>
      <c r="K168" s="47" t="s">
        <v>193</v>
      </c>
      <c r="L168" s="48">
        <v>0</v>
      </c>
      <c r="M168" s="31"/>
      <c r="N168" s="44" t="s">
        <v>201</v>
      </c>
      <c r="O168" s="45">
        <v>120</v>
      </c>
    </row>
    <row r="169" spans="1:18" x14ac:dyDescent="0.25">
      <c r="B169" s="51" t="s">
        <v>9</v>
      </c>
      <c r="C169" s="49">
        <v>46508</v>
      </c>
      <c r="D169" s="51" t="s">
        <v>32</v>
      </c>
      <c r="E169" s="51" t="s">
        <v>93</v>
      </c>
      <c r="F169" s="51">
        <v>79</v>
      </c>
      <c r="G169" s="51" t="s">
        <v>105</v>
      </c>
      <c r="K169" s="49" t="s">
        <v>116</v>
      </c>
      <c r="L169" s="51">
        <v>500</v>
      </c>
      <c r="M169" s="31"/>
      <c r="N169" s="49" t="s">
        <v>99</v>
      </c>
      <c r="O169" s="51">
        <v>39.9</v>
      </c>
    </row>
    <row r="170" spans="1:18" x14ac:dyDescent="0.25">
      <c r="B170" s="46" t="s">
        <v>9</v>
      </c>
      <c r="C170" s="46">
        <v>46508</v>
      </c>
      <c r="D170" s="47" t="s">
        <v>32</v>
      </c>
      <c r="E170" s="47" t="s">
        <v>94</v>
      </c>
      <c r="F170" s="48">
        <v>120</v>
      </c>
      <c r="G170" s="48" t="s">
        <v>105</v>
      </c>
      <c r="K170" s="47" t="s">
        <v>96</v>
      </c>
      <c r="L170" s="48">
        <v>160</v>
      </c>
      <c r="M170" s="31"/>
      <c r="O170" s="30">
        <f>SUM(O167:O169)</f>
        <v>171.9</v>
      </c>
    </row>
    <row r="171" spans="1:18" x14ac:dyDescent="0.25">
      <c r="B171" s="46" t="s">
        <v>9</v>
      </c>
      <c r="C171" s="46">
        <v>46508</v>
      </c>
      <c r="D171" s="47" t="s">
        <v>32</v>
      </c>
      <c r="E171" s="47" t="s">
        <v>95</v>
      </c>
      <c r="F171" s="48">
        <v>50</v>
      </c>
      <c r="G171" s="48" t="s">
        <v>105</v>
      </c>
      <c r="K171" s="47" t="s">
        <v>158</v>
      </c>
      <c r="L171" s="48">
        <f>F177</f>
        <v>171.9</v>
      </c>
      <c r="M171" s="31"/>
    </row>
    <row r="172" spans="1:18" x14ac:dyDescent="0.25">
      <c r="B172" s="49" t="s">
        <v>9</v>
      </c>
      <c r="C172" s="49">
        <v>46508</v>
      </c>
      <c r="D172" s="50" t="s">
        <v>32</v>
      </c>
      <c r="E172" s="50" t="s">
        <v>101</v>
      </c>
      <c r="F172" s="51">
        <v>20</v>
      </c>
      <c r="G172" s="50" t="s">
        <v>70</v>
      </c>
      <c r="K172" s="47" t="s">
        <v>102</v>
      </c>
      <c r="L172" s="48">
        <f>F178</f>
        <v>249</v>
      </c>
      <c r="M172" s="31"/>
      <c r="N172" s="32" t="s">
        <v>105</v>
      </c>
    </row>
    <row r="173" spans="1:18" x14ac:dyDescent="0.25">
      <c r="B173" s="43" t="s">
        <v>9</v>
      </c>
      <c r="C173" s="43">
        <v>46508</v>
      </c>
      <c r="D173" s="44" t="s">
        <v>33</v>
      </c>
      <c r="E173" s="44" t="s">
        <v>201</v>
      </c>
      <c r="F173" s="45">
        <v>120</v>
      </c>
      <c r="G173" s="44" t="s">
        <v>73</v>
      </c>
      <c r="K173" s="47" t="s">
        <v>184</v>
      </c>
      <c r="L173" s="48">
        <v>143.16</v>
      </c>
      <c r="M173" s="31"/>
      <c r="N173" s="82" t="s">
        <v>198</v>
      </c>
      <c r="O173" s="83">
        <f>700-O178</f>
        <v>451</v>
      </c>
    </row>
    <row r="174" spans="1:18" x14ac:dyDescent="0.25">
      <c r="B174" s="46" t="s">
        <v>9</v>
      </c>
      <c r="C174" s="43">
        <v>46508</v>
      </c>
      <c r="D174" s="47" t="s">
        <v>32</v>
      </c>
      <c r="E174" s="47" t="s">
        <v>193</v>
      </c>
      <c r="F174" s="48">
        <v>0</v>
      </c>
      <c r="G174" s="47" t="s">
        <v>70</v>
      </c>
      <c r="K174" s="49" t="s">
        <v>176</v>
      </c>
      <c r="L174" s="51">
        <f>F181</f>
        <v>260</v>
      </c>
      <c r="M174" s="31"/>
    </row>
    <row r="175" spans="1:18" x14ac:dyDescent="0.25">
      <c r="B175" s="49" t="s">
        <v>9</v>
      </c>
      <c r="C175" s="49">
        <v>46508</v>
      </c>
      <c r="D175" s="49" t="s">
        <v>63</v>
      </c>
      <c r="E175" s="49" t="s">
        <v>116</v>
      </c>
      <c r="F175" s="51">
        <v>500</v>
      </c>
      <c r="G175" s="49" t="s">
        <v>70</v>
      </c>
      <c r="K175" s="49" t="s">
        <v>98</v>
      </c>
      <c r="L175" s="51">
        <v>15</v>
      </c>
      <c r="M175" s="31"/>
      <c r="N175" s="51" t="s">
        <v>93</v>
      </c>
      <c r="O175" s="51">
        <v>79</v>
      </c>
    </row>
    <row r="176" spans="1:18" x14ac:dyDescent="0.25">
      <c r="B176" s="46" t="s">
        <v>9</v>
      </c>
      <c r="C176" s="46">
        <v>46512</v>
      </c>
      <c r="D176" s="47" t="s">
        <v>32</v>
      </c>
      <c r="E176" s="47" t="s">
        <v>96</v>
      </c>
      <c r="F176" s="48">
        <v>160</v>
      </c>
      <c r="G176" s="47" t="s">
        <v>70</v>
      </c>
      <c r="L176" s="30">
        <f>SUM(L167:L175)</f>
        <v>1519.0600000000002</v>
      </c>
      <c r="N176" s="47" t="s">
        <v>94</v>
      </c>
      <c r="O176" s="48">
        <v>120</v>
      </c>
    </row>
    <row r="177" spans="1:18" x14ac:dyDescent="0.25">
      <c r="B177" s="46" t="s">
        <v>9</v>
      </c>
      <c r="C177" s="46">
        <v>46512</v>
      </c>
      <c r="D177" s="47" t="s">
        <v>32</v>
      </c>
      <c r="E177" s="47" t="s">
        <v>158</v>
      </c>
      <c r="F177" s="48">
        <f>O148</f>
        <v>171.9</v>
      </c>
      <c r="G177" s="47" t="s">
        <v>70</v>
      </c>
      <c r="N177" s="47" t="s">
        <v>95</v>
      </c>
      <c r="O177" s="48">
        <v>50</v>
      </c>
    </row>
    <row r="178" spans="1:18" x14ac:dyDescent="0.25">
      <c r="B178" s="46" t="s">
        <v>9</v>
      </c>
      <c r="C178" s="46">
        <v>46512</v>
      </c>
      <c r="D178" s="47" t="s">
        <v>32</v>
      </c>
      <c r="E178" s="47" t="s">
        <v>102</v>
      </c>
      <c r="F178" s="48">
        <f>O156</f>
        <v>249</v>
      </c>
      <c r="G178" s="47" t="s">
        <v>70</v>
      </c>
      <c r="O178" s="30">
        <f>SUM(O175:O177)</f>
        <v>249</v>
      </c>
    </row>
    <row r="179" spans="1:18" x14ac:dyDescent="0.25">
      <c r="B179" s="46" t="s">
        <v>9</v>
      </c>
      <c r="C179" s="46">
        <v>46522</v>
      </c>
      <c r="D179" s="47" t="s">
        <v>63</v>
      </c>
      <c r="E179" s="47" t="s">
        <v>184</v>
      </c>
      <c r="F179" s="48">
        <v>143.16</v>
      </c>
      <c r="G179" s="47" t="s">
        <v>70</v>
      </c>
    </row>
    <row r="180" spans="1:18" x14ac:dyDescent="0.25">
      <c r="B180" s="49" t="s">
        <v>9</v>
      </c>
      <c r="C180" s="49">
        <v>46522</v>
      </c>
      <c r="D180" s="49" t="s">
        <v>32</v>
      </c>
      <c r="E180" s="49" t="s">
        <v>99</v>
      </c>
      <c r="F180" s="51">
        <v>39.9</v>
      </c>
      <c r="G180" s="49" t="s">
        <v>73</v>
      </c>
    </row>
    <row r="181" spans="1:18" x14ac:dyDescent="0.25">
      <c r="B181" s="49" t="s">
        <v>9</v>
      </c>
      <c r="C181" s="49">
        <v>46522</v>
      </c>
      <c r="D181" s="49" t="s">
        <v>42</v>
      </c>
      <c r="E181" s="49" t="s">
        <v>176</v>
      </c>
      <c r="F181" s="51">
        <v>260</v>
      </c>
      <c r="G181" s="50" t="s">
        <v>70</v>
      </c>
    </row>
    <row r="182" spans="1:18" x14ac:dyDescent="0.25">
      <c r="B182" s="49" t="s">
        <v>9</v>
      </c>
      <c r="C182" s="49">
        <v>46530</v>
      </c>
      <c r="D182" s="49" t="s">
        <v>32</v>
      </c>
      <c r="E182" s="49" t="s">
        <v>98</v>
      </c>
      <c r="F182" s="51">
        <v>15</v>
      </c>
      <c r="G182" s="50" t="s">
        <v>70</v>
      </c>
    </row>
    <row r="184" spans="1:18" s="87" customFormat="1" x14ac:dyDescent="0.25">
      <c r="A184" s="86"/>
    </row>
    <row r="186" spans="1:18" x14ac:dyDescent="0.25">
      <c r="B186" s="129" t="s">
        <v>192</v>
      </c>
      <c r="C186" s="130"/>
      <c r="D186" s="131"/>
      <c r="E186" s="136" t="s">
        <v>19</v>
      </c>
      <c r="F186" s="136"/>
      <c r="G186" s="136"/>
      <c r="K186" s="32" t="s">
        <v>70</v>
      </c>
      <c r="N186" s="32" t="s">
        <v>73</v>
      </c>
    </row>
    <row r="187" spans="1:18" x14ac:dyDescent="0.25">
      <c r="B187" s="27" t="s">
        <v>0</v>
      </c>
      <c r="C187" s="27" t="s">
        <v>89</v>
      </c>
      <c r="D187" s="28" t="s">
        <v>90</v>
      </c>
      <c r="E187" s="28" t="s">
        <v>36</v>
      </c>
      <c r="F187" s="29" t="s">
        <v>37</v>
      </c>
      <c r="G187" s="29" t="s">
        <v>67</v>
      </c>
      <c r="K187" t="s">
        <v>197</v>
      </c>
      <c r="L187" s="30">
        <f>F189-L198+F188</f>
        <v>740.56999999999994</v>
      </c>
      <c r="N187" t="s">
        <v>198</v>
      </c>
      <c r="O187" s="30">
        <f>1000-O192</f>
        <v>828.1</v>
      </c>
      <c r="Q187" s="33" t="s">
        <v>199</v>
      </c>
      <c r="R187" s="40">
        <f>L187+O187+O195</f>
        <v>2019.67</v>
      </c>
    </row>
    <row r="188" spans="1:18" x14ac:dyDescent="0.25">
      <c r="B188" s="46" t="s">
        <v>5</v>
      </c>
      <c r="C188" s="46">
        <v>46539</v>
      </c>
      <c r="D188" s="47" t="s">
        <v>43</v>
      </c>
      <c r="E188" s="47" t="s">
        <v>92</v>
      </c>
      <c r="F188" s="48">
        <v>0</v>
      </c>
      <c r="G188" s="47" t="s">
        <v>70</v>
      </c>
    </row>
    <row r="189" spans="1:18" x14ac:dyDescent="0.25">
      <c r="B189" s="48" t="s">
        <v>5</v>
      </c>
      <c r="C189" s="46">
        <v>46539</v>
      </c>
      <c r="D189" s="48" t="s">
        <v>6</v>
      </c>
      <c r="E189" s="48" t="s">
        <v>6</v>
      </c>
      <c r="F189" s="48">
        <v>2259.63</v>
      </c>
      <c r="G189" s="48" t="s">
        <v>70</v>
      </c>
      <c r="K189" s="50" t="s">
        <v>101</v>
      </c>
      <c r="L189" s="51">
        <v>20</v>
      </c>
      <c r="M189" s="31"/>
      <c r="N189" s="49" t="s">
        <v>76</v>
      </c>
      <c r="O189" s="51">
        <v>12</v>
      </c>
    </row>
    <row r="190" spans="1:18" x14ac:dyDescent="0.25">
      <c r="B190" s="51" t="s">
        <v>9</v>
      </c>
      <c r="C190" s="49">
        <v>46539</v>
      </c>
      <c r="D190" s="51" t="s">
        <v>32</v>
      </c>
      <c r="E190" s="49" t="s">
        <v>76</v>
      </c>
      <c r="F190" s="51">
        <v>12</v>
      </c>
      <c r="G190" s="49" t="s">
        <v>73</v>
      </c>
      <c r="K190" s="47" t="s">
        <v>193</v>
      </c>
      <c r="L190" s="48">
        <v>0</v>
      </c>
      <c r="M190" s="31"/>
      <c r="N190" s="44" t="s">
        <v>201</v>
      </c>
      <c r="O190" s="45">
        <v>120</v>
      </c>
    </row>
    <row r="191" spans="1:18" x14ac:dyDescent="0.25">
      <c r="B191" s="51" t="s">
        <v>9</v>
      </c>
      <c r="C191" s="49">
        <v>46539</v>
      </c>
      <c r="D191" s="51" t="s">
        <v>32</v>
      </c>
      <c r="E191" s="51" t="s">
        <v>93</v>
      </c>
      <c r="F191" s="51">
        <v>79</v>
      </c>
      <c r="G191" s="51" t="s">
        <v>105</v>
      </c>
      <c r="K191" s="49" t="s">
        <v>116</v>
      </c>
      <c r="L191" s="51">
        <v>500</v>
      </c>
      <c r="M191" s="31"/>
      <c r="N191" s="49" t="s">
        <v>99</v>
      </c>
      <c r="O191" s="51">
        <v>39.9</v>
      </c>
    </row>
    <row r="192" spans="1:18" x14ac:dyDescent="0.25">
      <c r="B192" s="46" t="s">
        <v>9</v>
      </c>
      <c r="C192" s="46">
        <v>46539</v>
      </c>
      <c r="D192" s="47" t="s">
        <v>32</v>
      </c>
      <c r="E192" s="47" t="s">
        <v>94</v>
      </c>
      <c r="F192" s="48">
        <v>120</v>
      </c>
      <c r="G192" s="48" t="s">
        <v>105</v>
      </c>
      <c r="K192" s="47" t="s">
        <v>96</v>
      </c>
      <c r="L192" s="48">
        <v>160</v>
      </c>
      <c r="M192" s="31"/>
      <c r="O192" s="30">
        <f>SUM(O189:O191)</f>
        <v>171.9</v>
      </c>
    </row>
    <row r="193" spans="1:15" x14ac:dyDescent="0.25">
      <c r="B193" s="46" t="s">
        <v>9</v>
      </c>
      <c r="C193" s="46">
        <v>46539</v>
      </c>
      <c r="D193" s="47" t="s">
        <v>32</v>
      </c>
      <c r="E193" s="47" t="s">
        <v>95</v>
      </c>
      <c r="F193" s="48">
        <v>50</v>
      </c>
      <c r="G193" s="48" t="s">
        <v>105</v>
      </c>
      <c r="K193" s="47" t="s">
        <v>158</v>
      </c>
      <c r="L193" s="48">
        <f>F199</f>
        <v>171.9</v>
      </c>
      <c r="M193" s="31"/>
    </row>
    <row r="194" spans="1:15" x14ac:dyDescent="0.25">
      <c r="B194" s="49" t="s">
        <v>9</v>
      </c>
      <c r="C194" s="49">
        <v>46539</v>
      </c>
      <c r="D194" s="50" t="s">
        <v>32</v>
      </c>
      <c r="E194" s="50" t="s">
        <v>101</v>
      </c>
      <c r="F194" s="51">
        <v>20</v>
      </c>
      <c r="G194" s="50" t="s">
        <v>70</v>
      </c>
      <c r="K194" s="47" t="s">
        <v>102</v>
      </c>
      <c r="L194" s="48">
        <f>F200</f>
        <v>249</v>
      </c>
      <c r="M194" s="31"/>
      <c r="N194" s="32" t="s">
        <v>105</v>
      </c>
    </row>
    <row r="195" spans="1:15" x14ac:dyDescent="0.25">
      <c r="B195" s="43" t="s">
        <v>9</v>
      </c>
      <c r="C195" s="43">
        <v>46539</v>
      </c>
      <c r="D195" s="44" t="s">
        <v>33</v>
      </c>
      <c r="E195" s="44" t="s">
        <v>201</v>
      </c>
      <c r="F195" s="45">
        <v>120</v>
      </c>
      <c r="G195" s="44" t="s">
        <v>73</v>
      </c>
      <c r="K195" s="47" t="s">
        <v>184</v>
      </c>
      <c r="L195" s="48">
        <v>143.16</v>
      </c>
      <c r="M195" s="31"/>
      <c r="N195" s="82" t="s">
        <v>198</v>
      </c>
      <c r="O195" s="83">
        <f>700-O200</f>
        <v>451</v>
      </c>
    </row>
    <row r="196" spans="1:15" x14ac:dyDescent="0.25">
      <c r="B196" s="46" t="s">
        <v>9</v>
      </c>
      <c r="C196" s="43">
        <v>46539</v>
      </c>
      <c r="D196" s="47" t="s">
        <v>32</v>
      </c>
      <c r="E196" s="47" t="s">
        <v>193</v>
      </c>
      <c r="F196" s="48">
        <v>0</v>
      </c>
      <c r="G196" s="47" t="s">
        <v>70</v>
      </c>
      <c r="K196" s="49" t="s">
        <v>176</v>
      </c>
      <c r="L196" s="51">
        <f>F203</f>
        <v>260</v>
      </c>
      <c r="M196" s="31"/>
    </row>
    <row r="197" spans="1:15" x14ac:dyDescent="0.25">
      <c r="B197" s="49" t="s">
        <v>9</v>
      </c>
      <c r="C197" s="49">
        <v>46539</v>
      </c>
      <c r="D197" s="49" t="s">
        <v>63</v>
      </c>
      <c r="E197" s="49" t="s">
        <v>116</v>
      </c>
      <c r="F197" s="51">
        <v>500</v>
      </c>
      <c r="G197" s="49" t="s">
        <v>70</v>
      </c>
      <c r="K197" s="49" t="s">
        <v>98</v>
      </c>
      <c r="L197" s="51">
        <v>15</v>
      </c>
      <c r="M197" s="31"/>
      <c r="N197" s="51" t="s">
        <v>93</v>
      </c>
      <c r="O197" s="51">
        <v>79</v>
      </c>
    </row>
    <row r="198" spans="1:15" x14ac:dyDescent="0.25">
      <c r="B198" s="46" t="s">
        <v>9</v>
      </c>
      <c r="C198" s="46">
        <v>46543</v>
      </c>
      <c r="D198" s="47" t="s">
        <v>32</v>
      </c>
      <c r="E198" s="47" t="s">
        <v>96</v>
      </c>
      <c r="F198" s="48">
        <v>160</v>
      </c>
      <c r="G198" s="47" t="s">
        <v>70</v>
      </c>
      <c r="L198" s="30">
        <f>SUM(L189:L197)</f>
        <v>1519.0600000000002</v>
      </c>
      <c r="N198" s="47" t="s">
        <v>94</v>
      </c>
      <c r="O198" s="48">
        <v>120</v>
      </c>
    </row>
    <row r="199" spans="1:15" x14ac:dyDescent="0.25">
      <c r="B199" s="46" t="s">
        <v>9</v>
      </c>
      <c r="C199" s="46">
        <v>46543</v>
      </c>
      <c r="D199" s="47" t="s">
        <v>32</v>
      </c>
      <c r="E199" s="47" t="s">
        <v>158</v>
      </c>
      <c r="F199" s="48">
        <f>O170</f>
        <v>171.9</v>
      </c>
      <c r="G199" s="47" t="s">
        <v>70</v>
      </c>
      <c r="N199" s="47" t="s">
        <v>95</v>
      </c>
      <c r="O199" s="48">
        <v>50</v>
      </c>
    </row>
    <row r="200" spans="1:15" x14ac:dyDescent="0.25">
      <c r="B200" s="46" t="s">
        <v>9</v>
      </c>
      <c r="C200" s="46">
        <v>46543</v>
      </c>
      <c r="D200" s="47" t="s">
        <v>32</v>
      </c>
      <c r="E200" s="47" t="s">
        <v>102</v>
      </c>
      <c r="F200" s="48">
        <f>O178</f>
        <v>249</v>
      </c>
      <c r="G200" s="47" t="s">
        <v>70</v>
      </c>
      <c r="O200" s="30">
        <f>SUM(O197:O199)</f>
        <v>249</v>
      </c>
    </row>
    <row r="201" spans="1:15" x14ac:dyDescent="0.25">
      <c r="B201" s="46" t="s">
        <v>9</v>
      </c>
      <c r="C201" s="46">
        <v>46553</v>
      </c>
      <c r="D201" s="47" t="s">
        <v>63</v>
      </c>
      <c r="E201" s="47" t="s">
        <v>184</v>
      </c>
      <c r="F201" s="48">
        <v>143.16</v>
      </c>
      <c r="G201" s="47" t="s">
        <v>70</v>
      </c>
    </row>
    <row r="202" spans="1:15" x14ac:dyDescent="0.25">
      <c r="B202" s="49" t="s">
        <v>9</v>
      </c>
      <c r="C202" s="49">
        <v>46553</v>
      </c>
      <c r="D202" s="49" t="s">
        <v>32</v>
      </c>
      <c r="E202" s="49" t="s">
        <v>99</v>
      </c>
      <c r="F202" s="51">
        <v>39.9</v>
      </c>
      <c r="G202" s="49" t="s">
        <v>73</v>
      </c>
    </row>
    <row r="203" spans="1:15" x14ac:dyDescent="0.25">
      <c r="B203" s="49" t="s">
        <v>9</v>
      </c>
      <c r="C203" s="49">
        <v>46553</v>
      </c>
      <c r="D203" s="49" t="s">
        <v>42</v>
      </c>
      <c r="E203" s="49" t="s">
        <v>176</v>
      </c>
      <c r="F203" s="51">
        <v>260</v>
      </c>
      <c r="G203" s="50" t="s">
        <v>70</v>
      </c>
    </row>
    <row r="204" spans="1:15" x14ac:dyDescent="0.25">
      <c r="B204" s="49" t="s">
        <v>9</v>
      </c>
      <c r="C204" s="49">
        <v>46561</v>
      </c>
      <c r="D204" s="49" t="s">
        <v>32</v>
      </c>
      <c r="E204" s="49" t="s">
        <v>98</v>
      </c>
      <c r="F204" s="51">
        <v>15</v>
      </c>
      <c r="G204" s="50" t="s">
        <v>70</v>
      </c>
    </row>
    <row r="206" spans="1:15" s="87" customFormat="1" x14ac:dyDescent="0.25">
      <c r="A206" s="86"/>
    </row>
    <row r="208" spans="1:15" x14ac:dyDescent="0.25">
      <c r="B208" s="129" t="s">
        <v>192</v>
      </c>
      <c r="C208" s="130"/>
      <c r="D208" s="131"/>
      <c r="E208" s="136" t="s">
        <v>20</v>
      </c>
      <c r="F208" s="136"/>
      <c r="G208" s="136"/>
      <c r="K208" s="32" t="s">
        <v>70</v>
      </c>
      <c r="N208" s="32" t="s">
        <v>73</v>
      </c>
    </row>
    <row r="209" spans="2:18" x14ac:dyDescent="0.25">
      <c r="B209" s="27" t="s">
        <v>0</v>
      </c>
      <c r="C209" s="27" t="s">
        <v>89</v>
      </c>
      <c r="D209" s="28" t="s">
        <v>90</v>
      </c>
      <c r="E209" s="28" t="s">
        <v>36</v>
      </c>
      <c r="F209" s="29" t="s">
        <v>37</v>
      </c>
      <c r="G209" s="29" t="s">
        <v>67</v>
      </c>
      <c r="K209" t="s">
        <v>197</v>
      </c>
      <c r="L209" s="30">
        <f>F211-L217+F210+F223</f>
        <v>4343.7299999999996</v>
      </c>
      <c r="N209" t="s">
        <v>198</v>
      </c>
      <c r="O209" s="30">
        <f>1000-O214</f>
        <v>828.1</v>
      </c>
      <c r="Q209" s="33" t="s">
        <v>199</v>
      </c>
      <c r="R209" s="40">
        <f>L209+O209+O217</f>
        <v>5622.83</v>
      </c>
    </row>
    <row r="210" spans="2:18" x14ac:dyDescent="0.25">
      <c r="B210" s="46" t="s">
        <v>5</v>
      </c>
      <c r="C210" s="46">
        <v>46204</v>
      </c>
      <c r="D210" s="47" t="s">
        <v>43</v>
      </c>
      <c r="E210" s="47" t="s">
        <v>92</v>
      </c>
      <c r="F210" s="48">
        <v>0</v>
      </c>
      <c r="G210" s="47" t="s">
        <v>70</v>
      </c>
    </row>
    <row r="211" spans="2:18" x14ac:dyDescent="0.25">
      <c r="B211" s="48" t="s">
        <v>5</v>
      </c>
      <c r="C211" s="46">
        <v>46204</v>
      </c>
      <c r="D211" s="48" t="s">
        <v>6</v>
      </c>
      <c r="E211" s="48" t="s">
        <v>6</v>
      </c>
      <c r="F211" s="48">
        <v>2259.63</v>
      </c>
      <c r="G211" s="48" t="s">
        <v>70</v>
      </c>
      <c r="K211" s="50" t="s">
        <v>101</v>
      </c>
      <c r="L211" s="51">
        <v>20</v>
      </c>
      <c r="M211" s="31"/>
      <c r="N211" s="49" t="s">
        <v>76</v>
      </c>
      <c r="O211" s="51">
        <v>12</v>
      </c>
    </row>
    <row r="212" spans="2:18" x14ac:dyDescent="0.25">
      <c r="B212" s="51" t="s">
        <v>9</v>
      </c>
      <c r="C212" s="49">
        <v>46204</v>
      </c>
      <c r="D212" s="51" t="s">
        <v>32</v>
      </c>
      <c r="E212" s="49" t="s">
        <v>76</v>
      </c>
      <c r="F212" s="51">
        <v>12</v>
      </c>
      <c r="G212" s="49" t="s">
        <v>73</v>
      </c>
      <c r="K212" s="47" t="s">
        <v>193</v>
      </c>
      <c r="L212" s="48">
        <v>0</v>
      </c>
      <c r="M212" s="31"/>
      <c r="N212" s="44" t="s">
        <v>201</v>
      </c>
      <c r="O212" s="45">
        <v>120</v>
      </c>
    </row>
    <row r="213" spans="2:18" x14ac:dyDescent="0.25">
      <c r="B213" s="51" t="s">
        <v>9</v>
      </c>
      <c r="C213" s="49">
        <v>46204</v>
      </c>
      <c r="D213" s="51" t="s">
        <v>32</v>
      </c>
      <c r="E213" s="51" t="s">
        <v>93</v>
      </c>
      <c r="F213" s="51">
        <v>79</v>
      </c>
      <c r="G213" s="51" t="s">
        <v>105</v>
      </c>
      <c r="K213" s="47" t="s">
        <v>96</v>
      </c>
      <c r="L213" s="48">
        <v>160</v>
      </c>
      <c r="M213" s="31"/>
      <c r="N213" s="49" t="s">
        <v>99</v>
      </c>
      <c r="O213" s="51">
        <v>39.9</v>
      </c>
    </row>
    <row r="214" spans="2:18" x14ac:dyDescent="0.25">
      <c r="B214" s="46" t="s">
        <v>9</v>
      </c>
      <c r="C214" s="46">
        <v>46204</v>
      </c>
      <c r="D214" s="47" t="s">
        <v>32</v>
      </c>
      <c r="E214" s="47" t="s">
        <v>94</v>
      </c>
      <c r="F214" s="48">
        <v>120</v>
      </c>
      <c r="G214" s="48" t="s">
        <v>105</v>
      </c>
      <c r="K214" s="47" t="s">
        <v>158</v>
      </c>
      <c r="L214" s="48">
        <f>F220</f>
        <v>171.9</v>
      </c>
      <c r="M214" s="31"/>
      <c r="O214" s="30">
        <f>SUM(O211:O213)</f>
        <v>171.9</v>
      </c>
    </row>
    <row r="215" spans="2:18" x14ac:dyDescent="0.25">
      <c r="B215" s="46" t="s">
        <v>9</v>
      </c>
      <c r="C215" s="46">
        <v>46204</v>
      </c>
      <c r="D215" s="47" t="s">
        <v>32</v>
      </c>
      <c r="E215" s="47" t="s">
        <v>95</v>
      </c>
      <c r="F215" s="48">
        <v>50</v>
      </c>
      <c r="G215" s="48" t="s">
        <v>105</v>
      </c>
      <c r="K215" s="47" t="s">
        <v>102</v>
      </c>
      <c r="L215" s="48">
        <f>F221</f>
        <v>249</v>
      </c>
      <c r="M215" s="31"/>
    </row>
    <row r="216" spans="2:18" x14ac:dyDescent="0.25">
      <c r="B216" s="49" t="s">
        <v>9</v>
      </c>
      <c r="C216" s="49">
        <v>46204</v>
      </c>
      <c r="D216" s="50" t="s">
        <v>32</v>
      </c>
      <c r="E216" s="50" t="s">
        <v>101</v>
      </c>
      <c r="F216" s="51">
        <v>20</v>
      </c>
      <c r="G216" s="50" t="s">
        <v>70</v>
      </c>
      <c r="K216" s="49" t="s">
        <v>98</v>
      </c>
      <c r="L216" s="51">
        <v>15</v>
      </c>
      <c r="M216" s="31"/>
      <c r="N216" s="32" t="s">
        <v>105</v>
      </c>
    </row>
    <row r="217" spans="2:18" x14ac:dyDescent="0.25">
      <c r="B217" s="43" t="s">
        <v>9</v>
      </c>
      <c r="C217" s="43">
        <v>46204</v>
      </c>
      <c r="D217" s="44" t="s">
        <v>33</v>
      </c>
      <c r="E217" s="44" t="s">
        <v>201</v>
      </c>
      <c r="F217" s="45">
        <v>120</v>
      </c>
      <c r="G217" s="44" t="s">
        <v>73</v>
      </c>
      <c r="L217" s="30">
        <f>SUM(L211:L216)</f>
        <v>615.9</v>
      </c>
      <c r="M217" s="31"/>
      <c r="N217" s="82" t="s">
        <v>198</v>
      </c>
      <c r="O217" s="83">
        <f>700-O222</f>
        <v>451</v>
      </c>
    </row>
    <row r="218" spans="2:18" x14ac:dyDescent="0.25">
      <c r="B218" s="46" t="s">
        <v>9</v>
      </c>
      <c r="C218" s="43">
        <v>46204</v>
      </c>
      <c r="D218" s="47" t="s">
        <v>32</v>
      </c>
      <c r="E218" s="47" t="s">
        <v>193</v>
      </c>
      <c r="F218" s="48">
        <v>0</v>
      </c>
      <c r="G218" s="47" t="s">
        <v>70</v>
      </c>
      <c r="M218" s="31"/>
    </row>
    <row r="219" spans="2:18" x14ac:dyDescent="0.25">
      <c r="B219" s="46" t="s">
        <v>9</v>
      </c>
      <c r="C219" s="46">
        <v>46208</v>
      </c>
      <c r="D219" s="47" t="s">
        <v>32</v>
      </c>
      <c r="E219" s="47" t="s">
        <v>96</v>
      </c>
      <c r="F219" s="48">
        <v>160</v>
      </c>
      <c r="G219" s="47" t="s">
        <v>70</v>
      </c>
      <c r="M219" s="31"/>
      <c r="N219" s="51" t="s">
        <v>93</v>
      </c>
      <c r="O219" s="51">
        <v>79</v>
      </c>
    </row>
    <row r="220" spans="2:18" x14ac:dyDescent="0.25">
      <c r="B220" s="46" t="s">
        <v>9</v>
      </c>
      <c r="C220" s="46">
        <v>46208</v>
      </c>
      <c r="D220" s="47" t="s">
        <v>32</v>
      </c>
      <c r="E220" s="47" t="s">
        <v>158</v>
      </c>
      <c r="F220" s="48">
        <f>O192</f>
        <v>171.9</v>
      </c>
      <c r="G220" s="47" t="s">
        <v>70</v>
      </c>
      <c r="N220" s="47" t="s">
        <v>94</v>
      </c>
      <c r="O220" s="48">
        <v>120</v>
      </c>
    </row>
    <row r="221" spans="2:18" x14ac:dyDescent="0.25">
      <c r="B221" s="46" t="s">
        <v>9</v>
      </c>
      <c r="C221" s="46">
        <v>46208</v>
      </c>
      <c r="D221" s="47" t="s">
        <v>32</v>
      </c>
      <c r="E221" s="47" t="s">
        <v>102</v>
      </c>
      <c r="F221" s="48">
        <f>O200</f>
        <v>249</v>
      </c>
      <c r="G221" s="47" t="s">
        <v>70</v>
      </c>
      <c r="N221" s="47" t="s">
        <v>95</v>
      </c>
      <c r="O221" s="48">
        <v>50</v>
      </c>
    </row>
    <row r="222" spans="2:18" x14ac:dyDescent="0.25">
      <c r="B222" s="49" t="s">
        <v>9</v>
      </c>
      <c r="C222" s="49">
        <v>46218</v>
      </c>
      <c r="D222" s="49" t="s">
        <v>32</v>
      </c>
      <c r="E222" s="49" t="s">
        <v>99</v>
      </c>
      <c r="F222" s="51">
        <v>39.9</v>
      </c>
      <c r="G222" s="49" t="s">
        <v>73</v>
      </c>
      <c r="O222" s="30">
        <f>SUM(O219:O221)</f>
        <v>249</v>
      </c>
    </row>
    <row r="223" spans="2:18" x14ac:dyDescent="0.25">
      <c r="B223" s="46" t="s">
        <v>5</v>
      </c>
      <c r="C223" s="46">
        <v>46218</v>
      </c>
      <c r="D223" s="47" t="s">
        <v>43</v>
      </c>
      <c r="E223" s="47" t="s">
        <v>189</v>
      </c>
      <c r="F223" s="48">
        <v>2700</v>
      </c>
      <c r="G223" s="47" t="s">
        <v>70</v>
      </c>
    </row>
    <row r="224" spans="2:18" x14ac:dyDescent="0.25">
      <c r="B224" s="49" t="s">
        <v>9</v>
      </c>
      <c r="C224" s="49">
        <v>46226</v>
      </c>
      <c r="D224" s="49" t="s">
        <v>32</v>
      </c>
      <c r="E224" s="49" t="s">
        <v>98</v>
      </c>
      <c r="F224" s="51">
        <v>15</v>
      </c>
      <c r="G224" s="50" t="s">
        <v>70</v>
      </c>
    </row>
    <row r="234" spans="2:11" x14ac:dyDescent="0.25">
      <c r="B234" t="s">
        <v>91</v>
      </c>
      <c r="C234" t="s">
        <v>5</v>
      </c>
      <c r="D234" t="s">
        <v>9</v>
      </c>
      <c r="E234" t="s">
        <v>204</v>
      </c>
      <c r="H234" s="69" t="s">
        <v>36</v>
      </c>
      <c r="I234" s="69" t="s">
        <v>205</v>
      </c>
      <c r="J234" s="69" t="s">
        <v>89</v>
      </c>
      <c r="K234" s="69" t="s">
        <v>37</v>
      </c>
    </row>
    <row r="235" spans="2:11" x14ac:dyDescent="0.25">
      <c r="B235" t="s">
        <v>8</v>
      </c>
      <c r="C235" s="30">
        <f>SUMIFS(Maestro!E:E, Maestro!G:G, B235, Maestro!A:A, "Ingreso")</f>
        <v>2544.58</v>
      </c>
      <c r="D235" s="30">
        <f>SUMIFS(Maestro!E:E, Maestro!G:G, B235, Maestro!A:A, "Egreso")</f>
        <v>2493.0500000000006</v>
      </c>
      <c r="E235">
        <f>SUMIFS(Maestro!E:E, Maestro!G:G, B235, Maestro!C:C, "Ahorro")</f>
        <v>0</v>
      </c>
      <c r="H235" s="70" t="s">
        <v>206</v>
      </c>
      <c r="I235" s="70" t="s">
        <v>207</v>
      </c>
      <c r="J235" s="71">
        <v>46039</v>
      </c>
      <c r="K235" s="72">
        <v>650</v>
      </c>
    </row>
    <row r="236" spans="2:11" x14ac:dyDescent="0.25">
      <c r="B236" t="s">
        <v>12</v>
      </c>
      <c r="C236" s="30">
        <f>SUMIFS(Maestro!E:E, Maestro!G:G, B236, Maestro!A:A, "Ingreso")</f>
        <v>5375.7</v>
      </c>
      <c r="D236" s="30">
        <f>SUMIFS(Maestro!E:E, Maestro!G:G, B236, Maestro!A:A, "Egreso")</f>
        <v>4773.93</v>
      </c>
      <c r="E236">
        <f>SUMIFS(Maestro!E:E, Maestro!G:G, B236, Maestro!C:C, "Ahorro")</f>
        <v>0</v>
      </c>
      <c r="H236" t="s">
        <v>208</v>
      </c>
      <c r="I236" t="s">
        <v>209</v>
      </c>
      <c r="J236" s="73">
        <v>46067</v>
      </c>
      <c r="K236" s="30">
        <v>160</v>
      </c>
    </row>
    <row r="237" spans="2:11" x14ac:dyDescent="0.25">
      <c r="B237" t="s">
        <v>15</v>
      </c>
      <c r="C237" s="30">
        <f>SUMIFS(Maestro!E:E, Maestro!G:G, B237, Maestro!A:A, "Ingreso")</f>
        <v>2918.67</v>
      </c>
      <c r="D237" s="30">
        <f>SUMIFS(Maestro!E:E, Maestro!G:G, B237, Maestro!A:A, "Egreso")</f>
        <v>2874.5700000000006</v>
      </c>
      <c r="E237">
        <f>SUMIFS(Maestro!E:E, Maestro!G:G, B237, Maestro!C:C, "Ahorro")</f>
        <v>0</v>
      </c>
      <c r="H237" s="74" t="s">
        <v>208</v>
      </c>
      <c r="I237" s="74" t="s">
        <v>210</v>
      </c>
      <c r="J237" s="75">
        <v>46102</v>
      </c>
      <c r="K237" s="76">
        <v>5200</v>
      </c>
    </row>
    <row r="238" spans="2:11" x14ac:dyDescent="0.25">
      <c r="B238" t="s">
        <v>17</v>
      </c>
      <c r="C238" s="30">
        <f>SUMIFS(Maestro!E:E, Maestro!G:G, B238, Maestro!A:A, "Ingreso")</f>
        <v>3661.67</v>
      </c>
      <c r="D238" s="30">
        <f>SUMIFS(Maestro!E:E, Maestro!G:G, B238, Maestro!A:A, "Egreso")</f>
        <v>3648.6499999999996</v>
      </c>
      <c r="E238">
        <f>SUMIFS(Maestro!E:E, Maestro!G:G, B238, Maestro!C:C, "Ahorro")</f>
        <v>0</v>
      </c>
      <c r="H238" t="s">
        <v>208</v>
      </c>
      <c r="I238" t="s">
        <v>211</v>
      </c>
      <c r="J238" s="73">
        <v>46110</v>
      </c>
      <c r="K238" s="30">
        <v>200</v>
      </c>
    </row>
    <row r="239" spans="2:11" x14ac:dyDescent="0.25">
      <c r="B239" t="s">
        <v>18</v>
      </c>
      <c r="C239" s="30">
        <f>SUMIFS(Maestro!E:E, Maestro!G:G, B239, Maestro!A:A, "Ingreso")</f>
        <v>4577.7</v>
      </c>
      <c r="D239" s="30">
        <f>SUMIFS(Maestro!E:E, Maestro!G:G, B239, Maestro!A:A, "Egreso")</f>
        <v>4134.2000000000007</v>
      </c>
      <c r="E239">
        <f>SUMIFS(Maestro!E:E, Maestro!G:G, B239, Maestro!C:C, "Ahorro")</f>
        <v>0</v>
      </c>
      <c r="H239" s="74" t="s">
        <v>208</v>
      </c>
      <c r="I239" s="74" t="s">
        <v>212</v>
      </c>
      <c r="J239" s="75">
        <v>46119</v>
      </c>
      <c r="K239" s="76">
        <v>900</v>
      </c>
    </row>
    <row r="240" spans="2:11" x14ac:dyDescent="0.25">
      <c r="B240" t="s">
        <v>19</v>
      </c>
      <c r="C240" s="30">
        <f>SUMIFS(Maestro!E:E, Maestro!G:G, B240, Maestro!A:A, "Ingreso")</f>
        <v>5732.82</v>
      </c>
      <c r="D240" s="30">
        <f>SUMIFS(Maestro!E:E, Maestro!G:G, B240, Maestro!A:A, "Egreso")</f>
        <v>4762.04</v>
      </c>
      <c r="E240">
        <f>SUMIFS(Maestro!E:E, Maestro!G:G, B240, Maestro!C:C, "Ahorro")</f>
        <v>0</v>
      </c>
      <c r="H240" t="s">
        <v>206</v>
      </c>
      <c r="I240" t="s">
        <v>213</v>
      </c>
      <c r="J240" s="73">
        <v>46129</v>
      </c>
      <c r="K240" s="30">
        <v>180</v>
      </c>
    </row>
    <row r="241" spans="2:12" x14ac:dyDescent="0.25">
      <c r="B241" t="s">
        <v>20</v>
      </c>
      <c r="C241" s="30">
        <f>SUMIFS(Maestro!E:E, Maestro!G:G, B241, Maestro!A:A, "Ingreso")</f>
        <v>7267.23</v>
      </c>
      <c r="D241" s="30">
        <f>SUMIFS(Maestro!E:E, Maestro!G:G, B241, Maestro!A:A, "Egreso")</f>
        <v>6420.6399999999994</v>
      </c>
      <c r="E241">
        <f>SUMIFS(Maestro!E:E, Maestro!G:G, B241, Maestro!C:C, "Ahorro")</f>
        <v>0</v>
      </c>
      <c r="H241" s="74" t="s">
        <v>208</v>
      </c>
      <c r="I241" s="74" t="s">
        <v>214</v>
      </c>
      <c r="J241" s="75">
        <v>46143</v>
      </c>
      <c r="K241" s="76">
        <v>190</v>
      </c>
    </row>
    <row r="242" spans="2:12" x14ac:dyDescent="0.25">
      <c r="B242" t="s">
        <v>21</v>
      </c>
      <c r="C242" s="30">
        <f>SUMIFS(Maestro!E:E, Maestro!G:G, B242, Maestro!A:A, "Ingreso")</f>
        <v>5237.9000000000015</v>
      </c>
      <c r="D242" s="30">
        <f>SUMIFS(Maestro!E:E, Maestro!G:G, B242, Maestro!A:A, "Egreso")</f>
        <v>4368.5699999999988</v>
      </c>
      <c r="E242">
        <f>SUMIFS(Maestro!E:E, Maestro!G:G, B242, Maestro!C:C, "Ahorro")</f>
        <v>0</v>
      </c>
      <c r="H242" t="s">
        <v>206</v>
      </c>
      <c r="I242" t="s">
        <v>215</v>
      </c>
      <c r="J242" s="73">
        <v>46164</v>
      </c>
      <c r="K242" s="30">
        <f>196+80</f>
        <v>276</v>
      </c>
    </row>
    <row r="243" spans="2:12" x14ac:dyDescent="0.25">
      <c r="B243" t="s">
        <v>22</v>
      </c>
      <c r="C243" s="30">
        <f>SUMIFS(Maestro!E:E, Maestro!G:G, B243, Maestro!A:A, "Ingreso")</f>
        <v>4554.2700000000004</v>
      </c>
      <c r="D243" s="30">
        <f>SUMIFS(Maestro!E:E, Maestro!G:G, B243, Maestro!A:A, "Egreso")</f>
        <v>2246.5999999999995</v>
      </c>
      <c r="E243">
        <f>SUMIFS(Maestro!E:E, Maestro!G:G, B243, Maestro!C:C, "Ahorro")</f>
        <v>0</v>
      </c>
      <c r="H243" s="74" t="s">
        <v>206</v>
      </c>
      <c r="I243" s="74" t="s">
        <v>216</v>
      </c>
      <c r="J243" s="75">
        <v>46249</v>
      </c>
      <c r="K243" s="76">
        <v>180</v>
      </c>
    </row>
    <row r="244" spans="2:12" x14ac:dyDescent="0.25">
      <c r="B244" t="s">
        <v>23</v>
      </c>
      <c r="C244" s="30">
        <f>SUMIFS(Maestro!E:E, Maestro!G:G, B244, Maestro!A:A, "Ingreso")</f>
        <v>0</v>
      </c>
      <c r="D244" s="30">
        <f>SUMIFS(Maestro!E:E, Maestro!G:G, B244, Maestro!A:A, "Egreso")</f>
        <v>0</v>
      </c>
      <c r="E244">
        <f>SUMIFS(Maestro!E:E, Maestro!G:G, B244, Maestro!C:C, "Ahorro")</f>
        <v>0</v>
      </c>
      <c r="H244" t="s">
        <v>206</v>
      </c>
      <c r="I244" t="s">
        <v>217</v>
      </c>
      <c r="J244" s="73">
        <v>46263</v>
      </c>
      <c r="K244" s="30">
        <v>80</v>
      </c>
    </row>
    <row r="245" spans="2:12" x14ac:dyDescent="0.25">
      <c r="B245" t="s">
        <v>24</v>
      </c>
      <c r="C245" s="30">
        <f>SUMIFS(Maestro!E:E, Maestro!G:G, B245, Maestro!A:A, "Ingreso")</f>
        <v>0</v>
      </c>
      <c r="D245" s="30">
        <f>SUMIFS(Maestro!E:E, Maestro!G:G, B245, Maestro!A:A, "Egreso")</f>
        <v>0</v>
      </c>
      <c r="E245">
        <f>SUMIFS(Maestro!E:E, Maestro!G:G, B245, Maestro!C:C, "Ahorro")</f>
        <v>0</v>
      </c>
      <c r="H245" s="77" t="s">
        <v>208</v>
      </c>
      <c r="I245" s="77" t="s">
        <v>218</v>
      </c>
      <c r="J245" s="78">
        <v>46381</v>
      </c>
      <c r="K245" s="79">
        <f>1707.34+2084.8</f>
        <v>3792.1400000000003</v>
      </c>
    </row>
    <row r="246" spans="2:12" x14ac:dyDescent="0.25">
      <c r="B246" t="s">
        <v>25</v>
      </c>
      <c r="C246" s="30">
        <f>SUMIFS(Maestro!E:E, Maestro!G:G, B246, Maestro!A:A, "Ingreso")</f>
        <v>0</v>
      </c>
      <c r="D246" s="30">
        <f>SUMIFS(Maestro!E:E, Maestro!G:G, B246, Maestro!A:A, "Egreso")</f>
        <v>0</v>
      </c>
      <c r="E246">
        <f>SUMIFS(Maestro!E:E, Maestro!G:G, B246, Maestro!C:C, "Ahorro")</f>
        <v>0</v>
      </c>
      <c r="L246" s="30"/>
    </row>
    <row r="247" spans="2:12" x14ac:dyDescent="0.25">
      <c r="I247" s="68"/>
      <c r="L247" s="30"/>
    </row>
    <row r="248" spans="2:12" x14ac:dyDescent="0.25">
      <c r="I248" s="68"/>
      <c r="L248" s="30"/>
    </row>
    <row r="249" spans="2:12" x14ac:dyDescent="0.25">
      <c r="I249" s="68"/>
      <c r="L249" s="30"/>
    </row>
    <row r="250" spans="2:12" x14ac:dyDescent="0.25">
      <c r="I250" s="68"/>
      <c r="L250" s="30"/>
    </row>
    <row r="251" spans="2:12" x14ac:dyDescent="0.25">
      <c r="I251" s="68"/>
      <c r="L251" s="30"/>
    </row>
    <row r="252" spans="2:12" x14ac:dyDescent="0.25">
      <c r="I252" s="68"/>
      <c r="L252" s="30"/>
    </row>
    <row r="253" spans="2:12" x14ac:dyDescent="0.25">
      <c r="I253" s="68"/>
      <c r="L253" s="30"/>
    </row>
    <row r="254" spans="2:12" x14ac:dyDescent="0.25">
      <c r="I254" s="68"/>
      <c r="L254" s="30"/>
    </row>
    <row r="255" spans="2:12" x14ac:dyDescent="0.25">
      <c r="I255" s="68"/>
      <c r="L255" s="30"/>
    </row>
    <row r="256" spans="2:12" x14ac:dyDescent="0.25">
      <c r="I256" s="68"/>
      <c r="L256" s="30"/>
    </row>
    <row r="257" spans="9:12" x14ac:dyDescent="0.25">
      <c r="I257" s="68"/>
      <c r="L257" s="30"/>
    </row>
    <row r="258" spans="9:12" x14ac:dyDescent="0.25">
      <c r="I258" s="68"/>
      <c r="L258" s="30"/>
    </row>
    <row r="259" spans="9:12" x14ac:dyDescent="0.25">
      <c r="I259" s="68"/>
      <c r="L259" s="30"/>
    </row>
    <row r="260" spans="9:12" x14ac:dyDescent="0.25">
      <c r="I260" s="68"/>
      <c r="L260" s="30"/>
    </row>
    <row r="261" spans="9:12" x14ac:dyDescent="0.25">
      <c r="I261" s="68"/>
      <c r="L261" s="30"/>
    </row>
    <row r="262" spans="9:12" x14ac:dyDescent="0.25">
      <c r="I262" s="68"/>
      <c r="L262" s="30"/>
    </row>
    <row r="263" spans="9:12" x14ac:dyDescent="0.25">
      <c r="I263" s="68"/>
      <c r="L263" s="30"/>
    </row>
    <row r="264" spans="9:12" x14ac:dyDescent="0.25">
      <c r="I264" s="68"/>
      <c r="L264" s="30"/>
    </row>
    <row r="265" spans="9:12" x14ac:dyDescent="0.25">
      <c r="I265" s="68"/>
      <c r="L265" s="30"/>
    </row>
    <row r="266" spans="9:12" x14ac:dyDescent="0.25">
      <c r="I266" s="68"/>
      <c r="L266" s="30"/>
    </row>
    <row r="267" spans="9:12" x14ac:dyDescent="0.25">
      <c r="I267" s="68"/>
      <c r="L267" s="30"/>
    </row>
    <row r="279" spans="4:6" ht="16.5" x14ac:dyDescent="0.3">
      <c r="D279" s="2"/>
      <c r="E279" s="2"/>
      <c r="F279" s="2"/>
    </row>
    <row r="280" spans="4:6" ht="16.5" x14ac:dyDescent="0.3">
      <c r="D280" s="2"/>
      <c r="E280" s="2"/>
      <c r="F280" s="2"/>
    </row>
    <row r="281" spans="4:6" ht="16.5" x14ac:dyDescent="0.3">
      <c r="D281" s="2"/>
      <c r="E281" s="2"/>
      <c r="F281" s="2"/>
    </row>
    <row r="282" spans="4:6" ht="16.5" x14ac:dyDescent="0.3">
      <c r="D282" s="2"/>
      <c r="E282" s="2"/>
      <c r="F282" s="2"/>
    </row>
    <row r="283" spans="4:6" ht="16.5" x14ac:dyDescent="0.3">
      <c r="D283" s="2"/>
      <c r="E283" s="2"/>
      <c r="F283" s="2"/>
    </row>
    <row r="284" spans="4:6" ht="16.5" x14ac:dyDescent="0.3">
      <c r="D284" s="2"/>
      <c r="E284" s="2"/>
      <c r="F284" s="2"/>
    </row>
    <row r="285" spans="4:6" ht="16.5" x14ac:dyDescent="0.3">
      <c r="D285" s="2"/>
      <c r="E285" s="2"/>
      <c r="F285" s="2"/>
    </row>
    <row r="286" spans="4:6" ht="16.5" x14ac:dyDescent="0.3">
      <c r="D286" s="2"/>
      <c r="E286" s="2"/>
      <c r="F286" s="2"/>
    </row>
    <row r="287" spans="4:6" ht="16.5" x14ac:dyDescent="0.3">
      <c r="D287" s="2"/>
      <c r="E287" s="2"/>
      <c r="F287" s="2"/>
    </row>
    <row r="288" spans="4:6" ht="16.5" x14ac:dyDescent="0.3">
      <c r="D288" s="2"/>
      <c r="E288" s="2"/>
      <c r="F288" s="2"/>
    </row>
  </sheetData>
  <mergeCells count="20">
    <mergeCell ref="B74:D74"/>
    <mergeCell ref="E2:G2"/>
    <mergeCell ref="E25:G25"/>
    <mergeCell ref="E50:G50"/>
    <mergeCell ref="E74:G74"/>
    <mergeCell ref="B50:D50"/>
    <mergeCell ref="B2:D2"/>
    <mergeCell ref="B25:D25"/>
    <mergeCell ref="B119:D119"/>
    <mergeCell ref="E119:G119"/>
    <mergeCell ref="B142:D142"/>
    <mergeCell ref="E142:G142"/>
    <mergeCell ref="B96:D96"/>
    <mergeCell ref="E96:G96"/>
    <mergeCell ref="B208:D208"/>
    <mergeCell ref="E208:G208"/>
    <mergeCell ref="B164:D164"/>
    <mergeCell ref="E164:G164"/>
    <mergeCell ref="B186:D186"/>
    <mergeCell ref="E186:G186"/>
  </mergeCells>
  <phoneticPr fontId="4" type="noConversion"/>
  <conditionalFormatting sqref="E2:E4 E6">
    <cfRule type="containsText" dxfId="34" priority="633" operator="containsText" text="Reservado">
      <formula>NOT(ISERROR(SEARCH("Reservado",E2)))</formula>
    </cfRule>
  </conditionalFormatting>
  <conditionalFormatting sqref="E25:E27 E29">
    <cfRule type="containsText" dxfId="33" priority="597" operator="containsText" text="Reservado">
      <formula>NOT(ISERROR(SEARCH("Reservado",E25)))</formula>
    </cfRule>
  </conditionalFormatting>
  <conditionalFormatting sqref="E50:E52 E54">
    <cfRule type="containsText" dxfId="32" priority="562" operator="containsText" text="Reservado">
      <formula>NOT(ISERROR(SEARCH("Reservado",E50)))</formula>
    </cfRule>
  </conditionalFormatting>
  <conditionalFormatting sqref="E74:E76 E78">
    <cfRule type="containsText" dxfId="31" priority="164" operator="containsText" text="Reservado">
      <formula>NOT(ISERROR(SEARCH("Reservado",E74)))</formula>
    </cfRule>
  </conditionalFormatting>
  <conditionalFormatting sqref="E96:E98 E100">
    <cfRule type="containsText" dxfId="30" priority="88" operator="containsText" text="Reservado">
      <formula>NOT(ISERROR(SEARCH("Reservado",E96)))</formula>
    </cfRule>
  </conditionalFormatting>
  <conditionalFormatting sqref="E119:E121 E123">
    <cfRule type="containsText" dxfId="29" priority="28" operator="containsText" text="Reservado">
      <formula>NOT(ISERROR(SEARCH("Reservado",E119)))</formula>
    </cfRule>
  </conditionalFormatting>
  <conditionalFormatting sqref="E142:E144 E146">
    <cfRule type="containsText" dxfId="28" priority="24" operator="containsText" text="Reservado">
      <formula>NOT(ISERROR(SEARCH("Reservado",E142)))</formula>
    </cfRule>
  </conditionalFormatting>
  <conditionalFormatting sqref="E148:E160">
    <cfRule type="containsText" dxfId="27" priority="7" operator="containsText" text="Reservado">
      <formula>NOT(ISERROR(SEARCH("Reservado",E148)))</formula>
    </cfRule>
  </conditionalFormatting>
  <conditionalFormatting sqref="E164:E166 E168">
    <cfRule type="containsText" dxfId="26" priority="20" operator="containsText" text="Reservado">
      <formula>NOT(ISERROR(SEARCH("Reservado",E164)))</formula>
    </cfRule>
  </conditionalFormatting>
  <conditionalFormatting sqref="E170:E182">
    <cfRule type="containsText" dxfId="25" priority="5" operator="containsText" text="Reservado">
      <formula>NOT(ISERROR(SEARCH("Reservado",E170)))</formula>
    </cfRule>
  </conditionalFormatting>
  <conditionalFormatting sqref="E186:E188 E190">
    <cfRule type="containsText" dxfId="24" priority="16" operator="containsText" text="Reservado">
      <formula>NOT(ISERROR(SEARCH("Reservado",E186)))</formula>
    </cfRule>
  </conditionalFormatting>
  <conditionalFormatting sqref="E208:E210 E212">
    <cfRule type="containsText" dxfId="23" priority="12" operator="containsText" text="Reservado">
      <formula>NOT(ISERROR(SEARCH("Reservado",E208)))</formula>
    </cfRule>
  </conditionalFormatting>
  <conditionalFormatting sqref="E214:E224">
    <cfRule type="containsText" dxfId="22" priority="2" operator="containsText" text="Reservado">
      <formula>NOT(ISERROR(SEARCH("Reservado",E214)))</formula>
    </cfRule>
  </conditionalFormatting>
  <conditionalFormatting sqref="K28:K38">
    <cfRule type="containsText" dxfId="21" priority="60" operator="containsText" text="Reservado">
      <formula>NOT(ISERROR(SEARCH("Reservado",K28)))</formula>
    </cfRule>
  </conditionalFormatting>
  <conditionalFormatting sqref="K77:K85 E80:E92 K99:K108 E102:E115 K145:K153 K167:K175 K189:K197 E192:E204 K211:K216">
    <cfRule type="containsText" dxfId="20" priority="704" operator="containsText" text="Reservado">
      <formula>NOT(ISERROR(SEARCH("Reservado",E77)))</formula>
    </cfRule>
  </conditionalFormatting>
  <conditionalFormatting sqref="N5 K5:K14 E8:E21 N19 E31:E46 K53:K62 E56:E70 K122:K130 E125:E137">
    <cfRule type="containsText" dxfId="19" priority="666" operator="containsText" text="Reservado">
      <formula>NOT(ISERROR(SEARCH("Reservado",E5)))</formula>
    </cfRule>
  </conditionalFormatting>
  <conditionalFormatting sqref="N12:N14">
    <cfRule type="containsText" dxfId="18" priority="68" operator="containsText" text="Reservado">
      <formula>NOT(ISERROR(SEARCH("Reservado",N12)))</formula>
    </cfRule>
  </conditionalFormatting>
  <conditionalFormatting sqref="N28:N30">
    <cfRule type="containsText" dxfId="17" priority="56" operator="containsText" text="Reservado">
      <formula>NOT(ISERROR(SEARCH("Reservado",N28)))</formula>
    </cfRule>
  </conditionalFormatting>
  <conditionalFormatting sqref="N37:N38">
    <cfRule type="containsText" dxfId="16" priority="61" operator="containsText" text="Reservado">
      <formula>NOT(ISERROR(SEARCH("Reservado",N37)))</formula>
    </cfRule>
  </conditionalFormatting>
  <conditionalFormatting sqref="N53:N55">
    <cfRule type="containsText" dxfId="15" priority="47" operator="containsText" text="Reservado">
      <formula>NOT(ISERROR(SEARCH("Reservado",N53)))</formula>
    </cfRule>
  </conditionalFormatting>
  <conditionalFormatting sqref="N62:N63">
    <cfRule type="containsText" dxfId="14" priority="53" operator="containsText" text="Reservado">
      <formula>NOT(ISERROR(SEARCH("Reservado",N62)))</formula>
    </cfRule>
  </conditionalFormatting>
  <conditionalFormatting sqref="N77:N79">
    <cfRule type="containsText" dxfId="13" priority="41" operator="containsText" text="Reservado">
      <formula>NOT(ISERROR(SEARCH("Reservado",N77)))</formula>
    </cfRule>
  </conditionalFormatting>
  <conditionalFormatting sqref="N86:N87">
    <cfRule type="containsText" dxfId="12" priority="42" operator="containsText" text="Reservado">
      <formula>NOT(ISERROR(SEARCH("Reservado",N86)))</formula>
    </cfRule>
  </conditionalFormatting>
  <conditionalFormatting sqref="N99:N101">
    <cfRule type="containsText" dxfId="11" priority="9" operator="containsText" text="Reservado">
      <formula>NOT(ISERROR(SEARCH("Reservado",N99)))</formula>
    </cfRule>
  </conditionalFormatting>
  <conditionalFormatting sqref="N108:N109">
    <cfRule type="containsText" dxfId="10" priority="37" operator="containsText" text="Reservado">
      <formula>NOT(ISERROR(SEARCH("Reservado",N108)))</formula>
    </cfRule>
  </conditionalFormatting>
  <conditionalFormatting sqref="N122:N124">
    <cfRule type="containsText" dxfId="9" priority="8" operator="containsText" text="Reservado">
      <formula>NOT(ISERROR(SEARCH("Reservado",N122)))</formula>
    </cfRule>
  </conditionalFormatting>
  <conditionalFormatting sqref="N131:N132">
    <cfRule type="containsText" dxfId="8" priority="27" operator="containsText" text="Reservado">
      <formula>NOT(ISERROR(SEARCH("Reservado",N131)))</formula>
    </cfRule>
  </conditionalFormatting>
  <conditionalFormatting sqref="N145:N147">
    <cfRule type="containsText" dxfId="7" priority="6" operator="containsText" text="Reservado">
      <formula>NOT(ISERROR(SEARCH("Reservado",N145)))</formula>
    </cfRule>
  </conditionalFormatting>
  <conditionalFormatting sqref="N154:N155">
    <cfRule type="containsText" dxfId="6" priority="23" operator="containsText" text="Reservado">
      <formula>NOT(ISERROR(SEARCH("Reservado",N154)))</formula>
    </cfRule>
  </conditionalFormatting>
  <conditionalFormatting sqref="N167:N169">
    <cfRule type="containsText" dxfId="5" priority="4" operator="containsText" text="Reservado">
      <formula>NOT(ISERROR(SEARCH("Reservado",N167)))</formula>
    </cfRule>
  </conditionalFormatting>
  <conditionalFormatting sqref="N176:N177">
    <cfRule type="containsText" dxfId="4" priority="19" operator="containsText" text="Reservado">
      <formula>NOT(ISERROR(SEARCH("Reservado",N176)))</formula>
    </cfRule>
  </conditionalFormatting>
  <conditionalFormatting sqref="N189:N191">
    <cfRule type="containsText" dxfId="3" priority="3" operator="containsText" text="Reservado">
      <formula>NOT(ISERROR(SEARCH("Reservado",N189)))</formula>
    </cfRule>
  </conditionalFormatting>
  <conditionalFormatting sqref="N198:N199">
    <cfRule type="containsText" dxfId="2" priority="15" operator="containsText" text="Reservado">
      <formula>NOT(ISERROR(SEARCH("Reservado",N198)))</formula>
    </cfRule>
  </conditionalFormatting>
  <conditionalFormatting sqref="N211:N213">
    <cfRule type="containsText" dxfId="1" priority="10" operator="containsText" text="Reservado">
      <formula>NOT(ISERROR(SEARCH("Reservado",N211)))</formula>
    </cfRule>
  </conditionalFormatting>
  <conditionalFormatting sqref="N220:N221">
    <cfRule type="containsText" dxfId="0" priority="11" operator="containsText" text="Reservado">
      <formula>NOT(ISERROR(SEARCH("Reservado",N220)))</formula>
    </cfRule>
  </conditionalFormatting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6F69-062B-4A70-8579-765B67DD94E1}">
  <dimension ref="A1:K30"/>
  <sheetViews>
    <sheetView workbookViewId="0">
      <selection activeCell="D17" sqref="D17"/>
    </sheetView>
  </sheetViews>
  <sheetFormatPr baseColWidth="10" defaultColWidth="10.7109375" defaultRowHeight="15" x14ac:dyDescent="0.25"/>
  <cols>
    <col min="1" max="1" width="33.28515625" bestFit="1" customWidth="1"/>
    <col min="2" max="2" width="22.42578125" bestFit="1" customWidth="1"/>
    <col min="3" max="3" width="12.85546875" bestFit="1" customWidth="1"/>
    <col min="4" max="6" width="11.85546875" bestFit="1" customWidth="1"/>
    <col min="7" max="8" width="12.85546875" bestFit="1" customWidth="1"/>
    <col min="9" max="10" width="11.85546875" bestFit="1" customWidth="1"/>
    <col min="11" max="11" width="12.85546875" bestFit="1" customWidth="1"/>
    <col min="12" max="12" width="7.28515625" bestFit="1" customWidth="1"/>
    <col min="13" max="13" width="9.140625" bestFit="1" customWidth="1"/>
    <col min="14" max="14" width="8.7109375" bestFit="1" customWidth="1"/>
    <col min="15" max="15" width="13.5703125" bestFit="1" customWidth="1"/>
    <col min="16" max="16" width="5" bestFit="1" customWidth="1"/>
    <col min="17" max="18" width="8" bestFit="1" customWidth="1"/>
    <col min="19" max="19" width="10.5703125" bestFit="1" customWidth="1"/>
    <col min="20" max="20" width="5.5703125" bestFit="1" customWidth="1"/>
    <col min="21" max="21" width="7.28515625" bestFit="1" customWidth="1"/>
    <col min="22" max="22" width="7.7109375" bestFit="1" customWidth="1"/>
    <col min="23" max="23" width="19.42578125" bestFit="1" customWidth="1"/>
    <col min="24" max="24" width="15.28515625" bestFit="1" customWidth="1"/>
    <col min="25" max="25" width="21.7109375" bestFit="1" customWidth="1"/>
    <col min="26" max="26" width="19" bestFit="1" customWidth="1"/>
    <col min="27" max="27" width="10.28515625" bestFit="1" customWidth="1"/>
    <col min="28" max="28" width="15.7109375" bestFit="1" customWidth="1"/>
    <col min="29" max="29" width="12" bestFit="1" customWidth="1"/>
    <col min="30" max="30" width="18.85546875" bestFit="1" customWidth="1"/>
    <col min="31" max="31" width="18.42578125" bestFit="1" customWidth="1"/>
    <col min="32" max="32" width="8.42578125" bestFit="1" customWidth="1"/>
    <col min="33" max="33" width="9.7109375" bestFit="1" customWidth="1"/>
    <col min="34" max="34" width="13" bestFit="1" customWidth="1"/>
    <col min="35" max="35" width="11.140625" bestFit="1" customWidth="1"/>
    <col min="36" max="36" width="14.5703125" bestFit="1" customWidth="1"/>
    <col min="37" max="37" width="9.7109375" bestFit="1" customWidth="1"/>
    <col min="38" max="38" width="10.140625" bestFit="1" customWidth="1"/>
    <col min="40" max="40" width="14.28515625" bestFit="1" customWidth="1"/>
    <col min="41" max="41" width="6.85546875" bestFit="1" customWidth="1"/>
    <col min="42" max="42" width="5.5703125" bestFit="1" customWidth="1"/>
    <col min="43" max="43" width="6.7109375" bestFit="1" customWidth="1"/>
    <col min="44" max="44" width="7.42578125" bestFit="1" customWidth="1"/>
    <col min="45" max="45" width="4.28515625" bestFit="1" customWidth="1"/>
    <col min="46" max="46" width="8.42578125" bestFit="1" customWidth="1"/>
    <col min="47" max="47" width="9.28515625" bestFit="1" customWidth="1"/>
    <col min="48" max="48" width="6" bestFit="1" customWidth="1"/>
    <col min="49" max="49" width="4.5703125" bestFit="1" customWidth="1"/>
    <col min="50" max="50" width="7.28515625" bestFit="1" customWidth="1"/>
    <col min="51" max="51" width="6.7109375" bestFit="1" customWidth="1"/>
    <col min="52" max="52" width="8.42578125" bestFit="1" customWidth="1"/>
    <col min="53" max="53" width="8.28515625" bestFit="1" customWidth="1"/>
    <col min="54" max="54" width="7.28515625" bestFit="1" customWidth="1"/>
    <col min="55" max="55" width="6.140625" bestFit="1" customWidth="1"/>
    <col min="56" max="56" width="5.7109375" bestFit="1" customWidth="1"/>
    <col min="57" max="57" width="12.28515625" bestFit="1" customWidth="1"/>
    <col min="58" max="58" width="3.85546875" bestFit="1" customWidth="1"/>
    <col min="59" max="59" width="6.85546875" bestFit="1" customWidth="1"/>
    <col min="60" max="60" width="6.28515625" bestFit="1" customWidth="1"/>
    <col min="61" max="61" width="7.28515625" bestFit="1" customWidth="1"/>
    <col min="62" max="62" width="20.28515625" bestFit="1" customWidth="1"/>
    <col min="63" max="63" width="9.28515625" bestFit="1" customWidth="1"/>
    <col min="64" max="64" width="8.85546875" bestFit="1" customWidth="1"/>
    <col min="65" max="65" width="4.5703125" bestFit="1" customWidth="1"/>
    <col min="66" max="66" width="14.5703125" bestFit="1" customWidth="1"/>
    <col min="67" max="67" width="8.85546875" bestFit="1" customWidth="1"/>
    <col min="68" max="68" width="6.7109375" bestFit="1" customWidth="1"/>
    <col min="69" max="69" width="9.85546875" bestFit="1" customWidth="1"/>
    <col min="70" max="70" width="12" bestFit="1" customWidth="1"/>
    <col min="71" max="71" width="14.140625" bestFit="1" customWidth="1"/>
    <col min="72" max="72" width="5" bestFit="1" customWidth="1"/>
    <col min="73" max="73" width="8.5703125" bestFit="1" customWidth="1"/>
    <col min="74" max="74" width="7.85546875" bestFit="1" customWidth="1"/>
    <col min="75" max="75" width="10" bestFit="1" customWidth="1"/>
    <col min="76" max="76" width="13.42578125" bestFit="1" customWidth="1"/>
    <col min="77" max="77" width="16.140625" bestFit="1" customWidth="1"/>
    <col min="78" max="78" width="12.42578125" bestFit="1" customWidth="1"/>
    <col min="79" max="79" width="13.85546875" bestFit="1" customWidth="1"/>
    <col min="80" max="80" width="9.28515625" bestFit="1" customWidth="1"/>
    <col min="81" max="81" width="10.140625" bestFit="1" customWidth="1"/>
    <col min="82" max="82" width="7.28515625" bestFit="1" customWidth="1"/>
    <col min="83" max="83" width="10" bestFit="1" customWidth="1"/>
    <col min="84" max="84" width="7.140625" bestFit="1" customWidth="1"/>
    <col min="85" max="85" width="5.85546875" bestFit="1" customWidth="1"/>
    <col min="86" max="86" width="4.5703125" bestFit="1" customWidth="1"/>
    <col min="87" max="87" width="15" bestFit="1" customWidth="1"/>
    <col min="88" max="88" width="6" bestFit="1" customWidth="1"/>
    <col min="89" max="89" width="5.85546875" bestFit="1" customWidth="1"/>
    <col min="90" max="90" width="15.7109375" bestFit="1" customWidth="1"/>
    <col min="91" max="91" width="14.7109375" bestFit="1" customWidth="1"/>
    <col min="92" max="92" width="10.5703125" bestFit="1" customWidth="1"/>
    <col min="93" max="93" width="12.42578125" bestFit="1" customWidth="1"/>
    <col min="94" max="94" width="6.85546875" bestFit="1" customWidth="1"/>
    <col min="95" max="95" width="9.42578125" bestFit="1" customWidth="1"/>
    <col min="96" max="96" width="12.5703125" bestFit="1" customWidth="1"/>
  </cols>
  <sheetData>
    <row r="1" spans="1:11" x14ac:dyDescent="0.25">
      <c r="A1" s="22" t="s">
        <v>0</v>
      </c>
      <c r="B1" t="s">
        <v>219</v>
      </c>
    </row>
    <row r="3" spans="1:11" x14ac:dyDescent="0.25">
      <c r="A3" s="22" t="s">
        <v>220</v>
      </c>
      <c r="B3" s="22" t="s">
        <v>221</v>
      </c>
    </row>
    <row r="4" spans="1:11" x14ac:dyDescent="0.25">
      <c r="A4" s="22" t="s">
        <v>222</v>
      </c>
      <c r="B4" t="s">
        <v>8</v>
      </c>
      <c r="C4" t="s">
        <v>12</v>
      </c>
      <c r="D4" t="s">
        <v>15</v>
      </c>
      <c r="E4" t="s">
        <v>17</v>
      </c>
      <c r="F4" t="s">
        <v>18</v>
      </c>
      <c r="G4" t="s">
        <v>19</v>
      </c>
      <c r="H4" t="s">
        <v>20</v>
      </c>
      <c r="I4" t="s">
        <v>21</v>
      </c>
      <c r="J4" t="s">
        <v>22</v>
      </c>
      <c r="K4" t="s">
        <v>223</v>
      </c>
    </row>
    <row r="5" spans="1:11" x14ac:dyDescent="0.25">
      <c r="A5" s="23" t="s">
        <v>63</v>
      </c>
      <c r="B5" s="15">
        <v>60.36</v>
      </c>
      <c r="C5" s="15">
        <v>60.36</v>
      </c>
      <c r="D5" s="15">
        <v>60.36</v>
      </c>
      <c r="E5" s="15">
        <v>245.75</v>
      </c>
      <c r="F5" s="15">
        <v>874.5</v>
      </c>
      <c r="G5" s="15">
        <v>245.75</v>
      </c>
      <c r="H5" s="15">
        <v>505.76</v>
      </c>
      <c r="I5" s="15">
        <v>505.76</v>
      </c>
      <c r="J5" s="15">
        <v>505.76</v>
      </c>
      <c r="K5" s="15">
        <v>3064.3600000000006</v>
      </c>
    </row>
    <row r="6" spans="1:11" x14ac:dyDescent="0.25">
      <c r="A6" s="23" t="s">
        <v>33</v>
      </c>
      <c r="B6" s="15">
        <v>1725.22</v>
      </c>
      <c r="C6" s="15">
        <v>1991.96</v>
      </c>
      <c r="D6" s="15">
        <v>1208.5900000000001</v>
      </c>
      <c r="E6" s="15">
        <v>1677.9300000000003</v>
      </c>
      <c r="F6" s="15">
        <v>1203.05</v>
      </c>
      <c r="G6" s="15">
        <v>1655.5100000000004</v>
      </c>
      <c r="H6" s="15">
        <v>3063.7700000000004</v>
      </c>
      <c r="I6" s="15">
        <v>1040.5</v>
      </c>
      <c r="J6" s="15">
        <v>25</v>
      </c>
      <c r="K6" s="15">
        <v>13591.530000000002</v>
      </c>
    </row>
    <row r="7" spans="1:11" x14ac:dyDescent="0.25">
      <c r="A7" s="23" t="s">
        <v>42</v>
      </c>
      <c r="B7" s="15"/>
      <c r="C7" s="15">
        <v>1440.9</v>
      </c>
      <c r="D7" s="15">
        <v>1170</v>
      </c>
      <c r="E7" s="15">
        <v>275</v>
      </c>
      <c r="F7" s="15">
        <v>774</v>
      </c>
      <c r="G7" s="15">
        <v>1409.2600000000002</v>
      </c>
      <c r="H7" s="15">
        <v>1508.61</v>
      </c>
      <c r="I7" s="15">
        <v>659.69</v>
      </c>
      <c r="J7" s="15">
        <v>80</v>
      </c>
      <c r="K7" s="15">
        <v>7317.4599999999991</v>
      </c>
    </row>
    <row r="8" spans="1:11" x14ac:dyDescent="0.25">
      <c r="A8" s="23" t="s">
        <v>43</v>
      </c>
      <c r="B8" s="15">
        <v>92.12</v>
      </c>
      <c r="C8" s="15">
        <v>1422.9</v>
      </c>
      <c r="D8" s="15">
        <v>414.46</v>
      </c>
      <c r="E8" s="15">
        <v>402.03999999999996</v>
      </c>
      <c r="F8" s="15">
        <v>32.1</v>
      </c>
      <c r="G8" s="15">
        <v>1347.3899999999999</v>
      </c>
      <c r="H8" s="15">
        <v>474.93999999999988</v>
      </c>
      <c r="I8" s="15">
        <v>1015.410000000001</v>
      </c>
      <c r="J8" s="15">
        <v>193.00000000000091</v>
      </c>
      <c r="K8" s="15">
        <v>5394.3600000000015</v>
      </c>
    </row>
    <row r="9" spans="1:11" x14ac:dyDescent="0.25">
      <c r="A9" s="23" t="s">
        <v>32</v>
      </c>
      <c r="B9" s="15">
        <v>707.47</v>
      </c>
      <c r="C9" s="15">
        <v>1280.71</v>
      </c>
      <c r="D9" s="15">
        <v>435.62</v>
      </c>
      <c r="E9" s="15">
        <v>1449.97</v>
      </c>
      <c r="F9" s="15">
        <v>1282.6500000000001</v>
      </c>
      <c r="G9" s="15">
        <v>1451.5200000000002</v>
      </c>
      <c r="H9" s="15">
        <v>1342.5</v>
      </c>
      <c r="I9" s="15">
        <v>2162.62</v>
      </c>
      <c r="J9" s="15">
        <v>1621.64</v>
      </c>
      <c r="K9" s="15">
        <v>11734.699999999999</v>
      </c>
    </row>
    <row r="10" spans="1:11" x14ac:dyDescent="0.25">
      <c r="A10" s="88" t="s">
        <v>96</v>
      </c>
      <c r="B10" s="15">
        <v>128.08000000000001</v>
      </c>
      <c r="C10" s="15">
        <v>107.3</v>
      </c>
      <c r="D10" s="15">
        <v>121.5</v>
      </c>
      <c r="E10" s="15">
        <v>117.3</v>
      </c>
      <c r="F10" s="15">
        <v>162</v>
      </c>
      <c r="G10" s="15">
        <v>158.1</v>
      </c>
      <c r="H10" s="15">
        <v>160</v>
      </c>
      <c r="I10" s="15">
        <v>160</v>
      </c>
      <c r="J10" s="15">
        <v>160</v>
      </c>
      <c r="K10" s="15">
        <v>1274.2800000000002</v>
      </c>
    </row>
    <row r="11" spans="1:11" x14ac:dyDescent="0.25">
      <c r="A11" s="88" t="s">
        <v>101</v>
      </c>
      <c r="B11" s="15">
        <v>20</v>
      </c>
      <c r="C11" s="15">
        <v>20</v>
      </c>
      <c r="D11" s="15">
        <v>20</v>
      </c>
      <c r="E11" s="15">
        <v>20</v>
      </c>
      <c r="F11" s="15">
        <v>40</v>
      </c>
      <c r="G11" s="15">
        <v>20</v>
      </c>
      <c r="H11" s="15"/>
      <c r="I11" s="15">
        <v>20</v>
      </c>
      <c r="J11" s="15">
        <v>20</v>
      </c>
      <c r="K11" s="15">
        <v>180</v>
      </c>
    </row>
    <row r="12" spans="1:11" x14ac:dyDescent="0.25">
      <c r="A12" s="88" t="s">
        <v>117</v>
      </c>
      <c r="B12" s="15">
        <v>15.71</v>
      </c>
      <c r="C12" s="15">
        <v>4.25</v>
      </c>
      <c r="D12" s="15"/>
      <c r="E12" s="15">
        <v>32.22</v>
      </c>
      <c r="F12" s="15"/>
      <c r="G12" s="15">
        <v>16.899999999999999</v>
      </c>
      <c r="H12" s="15">
        <v>16.510000000000002</v>
      </c>
      <c r="I12" s="15">
        <v>76.459999999999994</v>
      </c>
      <c r="J12" s="15"/>
      <c r="K12" s="15">
        <v>162.05000000000001</v>
      </c>
    </row>
    <row r="13" spans="1:11" x14ac:dyDescent="0.25">
      <c r="A13" s="88" t="s">
        <v>95</v>
      </c>
      <c r="B13" s="15">
        <v>29.3</v>
      </c>
      <c r="C13" s="15">
        <v>19.100000000000001</v>
      </c>
      <c r="D13" s="15">
        <v>35.799999999999997</v>
      </c>
      <c r="E13" s="15">
        <v>14.1</v>
      </c>
      <c r="F13" s="15">
        <v>45</v>
      </c>
      <c r="G13" s="15">
        <v>44.9</v>
      </c>
      <c r="H13" s="15">
        <v>48.5</v>
      </c>
      <c r="I13" s="15">
        <v>43.5</v>
      </c>
      <c r="J13" s="15"/>
      <c r="K13" s="15">
        <v>280.20000000000005</v>
      </c>
    </row>
    <row r="14" spans="1:11" x14ac:dyDescent="0.25">
      <c r="A14" s="88" t="s">
        <v>98</v>
      </c>
      <c r="B14" s="15">
        <v>4.0199999999999996</v>
      </c>
      <c r="C14" s="15">
        <v>4</v>
      </c>
      <c r="D14" s="15">
        <v>4.0199999999999996</v>
      </c>
      <c r="E14" s="15">
        <v>4.04</v>
      </c>
      <c r="F14" s="15">
        <v>15.35</v>
      </c>
      <c r="G14" s="15">
        <v>14.96</v>
      </c>
      <c r="H14" s="15">
        <v>14.69</v>
      </c>
      <c r="I14" s="15">
        <v>14.66</v>
      </c>
      <c r="J14" s="15">
        <v>15</v>
      </c>
      <c r="K14" s="15">
        <v>90.74</v>
      </c>
    </row>
    <row r="15" spans="1:11" x14ac:dyDescent="0.25">
      <c r="A15" s="88" t="s">
        <v>93</v>
      </c>
      <c r="B15" s="15">
        <v>79</v>
      </c>
      <c r="C15" s="15">
        <v>79</v>
      </c>
      <c r="D15" s="15">
        <v>79</v>
      </c>
      <c r="E15" s="15">
        <v>79</v>
      </c>
      <c r="F15" s="15">
        <v>79</v>
      </c>
      <c r="G15" s="15">
        <v>79</v>
      </c>
      <c r="H15" s="15">
        <v>79</v>
      </c>
      <c r="I15" s="15">
        <v>78.48</v>
      </c>
      <c r="J15" s="15"/>
      <c r="K15" s="15">
        <v>631.48</v>
      </c>
    </row>
    <row r="16" spans="1:11" x14ac:dyDescent="0.25">
      <c r="A16" s="88" t="s">
        <v>94</v>
      </c>
      <c r="B16" s="15">
        <v>104</v>
      </c>
      <c r="C16" s="15">
        <v>134.5</v>
      </c>
      <c r="D16" s="15">
        <v>111.5</v>
      </c>
      <c r="E16" s="15">
        <v>101.5</v>
      </c>
      <c r="F16" s="15">
        <v>84.5</v>
      </c>
      <c r="G16" s="15">
        <v>102</v>
      </c>
      <c r="H16" s="15">
        <v>94</v>
      </c>
      <c r="I16" s="15">
        <v>98</v>
      </c>
      <c r="J16" s="15"/>
      <c r="K16" s="15">
        <v>830</v>
      </c>
    </row>
    <row r="17" spans="1:11" x14ac:dyDescent="0.25">
      <c r="A17" s="88" t="s">
        <v>76</v>
      </c>
      <c r="B17" s="15">
        <v>11.9</v>
      </c>
      <c r="C17" s="15">
        <v>11.9</v>
      </c>
      <c r="D17" s="15">
        <v>11.9</v>
      </c>
      <c r="E17" s="15">
        <v>11.91</v>
      </c>
      <c r="F17" s="15">
        <v>11.9</v>
      </c>
      <c r="G17" s="15">
        <v>11.9</v>
      </c>
      <c r="H17" s="15">
        <v>11.9</v>
      </c>
      <c r="I17" s="15">
        <v>11.9</v>
      </c>
      <c r="J17" s="15"/>
      <c r="K17" s="15">
        <v>95.210000000000008</v>
      </c>
    </row>
    <row r="18" spans="1:11" x14ac:dyDescent="0.25">
      <c r="A18" s="88" t="s">
        <v>153</v>
      </c>
      <c r="B18" s="15"/>
      <c r="C18" s="15"/>
      <c r="D18" s="15">
        <v>12</v>
      </c>
      <c r="E18" s="15"/>
      <c r="F18" s="15"/>
      <c r="G18" s="15">
        <v>21.5</v>
      </c>
      <c r="H18" s="15"/>
      <c r="I18" s="15"/>
      <c r="J18" s="15"/>
      <c r="K18" s="15">
        <v>33.5</v>
      </c>
    </row>
    <row r="19" spans="1:11" x14ac:dyDescent="0.25">
      <c r="A19" s="88" t="s">
        <v>99</v>
      </c>
      <c r="B19" s="15">
        <v>39.9</v>
      </c>
      <c r="C19" s="15">
        <v>39.9</v>
      </c>
      <c r="D19" s="15">
        <v>39.9</v>
      </c>
      <c r="E19" s="15">
        <v>39.9</v>
      </c>
      <c r="F19" s="15">
        <v>39.9</v>
      </c>
      <c r="G19" s="15">
        <v>39.9</v>
      </c>
      <c r="H19" s="15">
        <v>39.9</v>
      </c>
      <c r="I19" s="15">
        <v>39.9</v>
      </c>
      <c r="J19" s="15"/>
      <c r="K19" s="15">
        <v>319.2</v>
      </c>
    </row>
    <row r="20" spans="1:11" x14ac:dyDescent="0.25">
      <c r="A20" s="88" t="s">
        <v>158</v>
      </c>
      <c r="B20" s="15"/>
      <c r="C20" s="15"/>
      <c r="D20" s="15"/>
      <c r="E20" s="15">
        <v>1030</v>
      </c>
      <c r="F20" s="15">
        <v>785</v>
      </c>
      <c r="G20" s="15">
        <v>880.45</v>
      </c>
      <c r="H20" s="15">
        <v>878</v>
      </c>
      <c r="I20" s="15">
        <v>731.69</v>
      </c>
      <c r="J20" s="15">
        <v>751.89</v>
      </c>
      <c r="K20" s="15">
        <v>5057.03</v>
      </c>
    </row>
    <row r="21" spans="1:11" x14ac:dyDescent="0.25">
      <c r="A21" s="88" t="s">
        <v>100</v>
      </c>
      <c r="B21" s="15">
        <v>8</v>
      </c>
      <c r="C21" s="15"/>
      <c r="D21" s="15"/>
      <c r="E21" s="15"/>
      <c r="F21" s="15">
        <v>20</v>
      </c>
      <c r="G21" s="15">
        <v>61.91</v>
      </c>
      <c r="H21" s="15"/>
      <c r="I21" s="15"/>
      <c r="J21" s="15">
        <v>18.989999999999998</v>
      </c>
      <c r="K21" s="15">
        <v>108.89999999999999</v>
      </c>
    </row>
    <row r="22" spans="1:11" x14ac:dyDescent="0.25">
      <c r="A22" s="88" t="s">
        <v>102</v>
      </c>
      <c r="B22" s="15">
        <v>267.56</v>
      </c>
      <c r="C22" s="15">
        <v>860.76</v>
      </c>
      <c r="D22" s="15"/>
      <c r="E22" s="15"/>
      <c r="F22" s="15"/>
      <c r="G22" s="15"/>
      <c r="H22" s="15"/>
      <c r="I22" s="15">
        <v>60.27</v>
      </c>
      <c r="J22" s="15">
        <v>455.09</v>
      </c>
      <c r="K22" s="15">
        <v>1643.6799999999998</v>
      </c>
    </row>
    <row r="23" spans="1:11" x14ac:dyDescent="0.25">
      <c r="A23" s="88" t="s">
        <v>193</v>
      </c>
      <c r="B23" s="15"/>
      <c r="C23" s="15"/>
      <c r="D23" s="15"/>
      <c r="E23" s="15"/>
      <c r="F23" s="15"/>
      <c r="G23" s="15"/>
      <c r="H23" s="15"/>
      <c r="I23" s="15">
        <v>827.76</v>
      </c>
      <c r="J23" s="15">
        <v>200.67</v>
      </c>
      <c r="K23" s="15">
        <v>1028.43</v>
      </c>
    </row>
    <row r="24" spans="1:11" x14ac:dyDescent="0.25">
      <c r="A24" s="23" t="s">
        <v>6</v>
      </c>
      <c r="B24" s="15">
        <v>2073.06</v>
      </c>
      <c r="C24" s="15">
        <v>2073.06</v>
      </c>
      <c r="D24" s="15">
        <v>2073.06</v>
      </c>
      <c r="E24" s="15">
        <v>2259.63</v>
      </c>
      <c r="F24" s="15">
        <v>3729.3</v>
      </c>
      <c r="G24" s="15">
        <v>2259.63</v>
      </c>
      <c r="H24" s="15">
        <v>4981.2299999999996</v>
      </c>
      <c r="I24" s="15">
        <v>2259.63</v>
      </c>
      <c r="J24" s="15">
        <v>2259.63</v>
      </c>
      <c r="K24" s="15">
        <v>23968.230000000003</v>
      </c>
    </row>
    <row r="25" spans="1:11" x14ac:dyDescent="0.25">
      <c r="A25" s="88" t="s">
        <v>6</v>
      </c>
      <c r="B25" s="15">
        <v>2073.06</v>
      </c>
      <c r="C25" s="15">
        <v>2073.06</v>
      </c>
      <c r="D25" s="15">
        <v>2073.06</v>
      </c>
      <c r="E25" s="15">
        <v>2259.63</v>
      </c>
      <c r="F25" s="15">
        <v>2259.63</v>
      </c>
      <c r="G25" s="15">
        <v>2259.63</v>
      </c>
      <c r="H25" s="15">
        <v>2259.63</v>
      </c>
      <c r="I25" s="15">
        <v>2259.63</v>
      </c>
      <c r="J25" s="15">
        <v>2259.63</v>
      </c>
      <c r="K25" s="15">
        <v>19776.960000000006</v>
      </c>
    </row>
    <row r="26" spans="1:11" x14ac:dyDescent="0.25">
      <c r="A26" s="88" t="s">
        <v>175</v>
      </c>
      <c r="B26" s="15"/>
      <c r="C26" s="15"/>
      <c r="D26" s="15"/>
      <c r="E26" s="15"/>
      <c r="F26" s="15">
        <v>1469.67</v>
      </c>
      <c r="G26" s="15"/>
      <c r="H26" s="15"/>
      <c r="I26" s="15"/>
      <c r="J26" s="15"/>
      <c r="K26" s="15">
        <v>1469.67</v>
      </c>
    </row>
    <row r="27" spans="1:11" x14ac:dyDescent="0.25">
      <c r="A27" s="88" t="s">
        <v>189</v>
      </c>
      <c r="B27" s="15"/>
      <c r="C27" s="15"/>
      <c r="D27" s="15"/>
      <c r="E27" s="15"/>
      <c r="F27" s="15"/>
      <c r="G27" s="15"/>
      <c r="H27" s="15">
        <v>2721.6</v>
      </c>
      <c r="I27" s="15"/>
      <c r="J27" s="15"/>
      <c r="K27" s="15">
        <v>2721.6</v>
      </c>
    </row>
    <row r="28" spans="1:11" x14ac:dyDescent="0.25">
      <c r="A28" s="23" t="s">
        <v>103</v>
      </c>
      <c r="B28" s="15">
        <v>379.4</v>
      </c>
      <c r="C28" s="15">
        <v>1879.74</v>
      </c>
      <c r="D28" s="15">
        <v>431.15</v>
      </c>
      <c r="E28" s="15">
        <v>1000</v>
      </c>
      <c r="F28" s="15">
        <v>816.3</v>
      </c>
      <c r="G28" s="15">
        <v>2125.8000000000002</v>
      </c>
      <c r="H28" s="15">
        <v>1811.06</v>
      </c>
      <c r="I28" s="15">
        <v>1962.8600000000001</v>
      </c>
      <c r="J28" s="15">
        <v>2101.64</v>
      </c>
      <c r="K28" s="15">
        <v>12507.95</v>
      </c>
    </row>
    <row r="29" spans="1:11" x14ac:dyDescent="0.25">
      <c r="A29" s="88" t="s">
        <v>104</v>
      </c>
      <c r="B29" s="15">
        <v>379.4</v>
      </c>
      <c r="C29" s="15">
        <v>1879.74</v>
      </c>
      <c r="D29" s="15">
        <v>431.15</v>
      </c>
      <c r="E29" s="15">
        <v>1000</v>
      </c>
      <c r="F29" s="15">
        <v>816.3</v>
      </c>
      <c r="G29" s="15">
        <v>2125.8000000000002</v>
      </c>
      <c r="H29" s="15">
        <v>1811.06</v>
      </c>
      <c r="I29" s="15">
        <v>1962.8600000000001</v>
      </c>
      <c r="J29" s="15">
        <v>2101.64</v>
      </c>
      <c r="K29" s="15">
        <v>12507.95</v>
      </c>
    </row>
    <row r="30" spans="1:11" x14ac:dyDescent="0.25">
      <c r="A30" s="23" t="s">
        <v>223</v>
      </c>
      <c r="B30" s="15">
        <v>5037.6299999999992</v>
      </c>
      <c r="C30" s="15">
        <v>10149.630000000001</v>
      </c>
      <c r="D30" s="15">
        <v>5793.24</v>
      </c>
      <c r="E30" s="15">
        <v>7310.32</v>
      </c>
      <c r="F30" s="15">
        <v>8711.9</v>
      </c>
      <c r="G30" s="15">
        <v>10494.859999999997</v>
      </c>
      <c r="H30" s="15">
        <v>13687.869999999999</v>
      </c>
      <c r="I30" s="15">
        <v>9606.4700000000012</v>
      </c>
      <c r="J30" s="15">
        <v>6786.67</v>
      </c>
      <c r="K30" s="15">
        <v>77578.590000000011</v>
      </c>
    </row>
  </sheetData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D9920606-84AB-42A5-A891-D0944050FDFD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634E92BE-F0BE-403E-8EDB-1E81F64CECD5}">
  <ds:schemaRefs>
    <ds:schemaRef ds:uri="http://www.w3.org/2001/XMLSchema"/>
    <ds:schemaRef ds:uri="http://microsoft.data.visualization.engine.tours/1.0"/>
  </ds:schemaRefs>
</ds:datastoreItem>
</file>

<file path=customXml/itemProps3.xml><?xml version="1.0" encoding="utf-8"?>
<ds:datastoreItem xmlns:ds="http://schemas.openxmlformats.org/officeDocument/2006/customXml" ds:itemID="{BEE65E48-3EA6-4C9C-8CE9-23DF10761B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Listas Validadas</vt:lpstr>
      <vt:lpstr>Estadistica</vt:lpstr>
      <vt:lpstr>Maestro</vt:lpstr>
      <vt:lpstr>Presupuesto Anual 2026</vt:lpstr>
      <vt:lpstr>Resumen Anual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Romero</dc:creator>
  <cp:keywords/>
  <dc:description/>
  <cp:lastModifiedBy>Luis Romero</cp:lastModifiedBy>
  <cp:revision/>
  <dcterms:created xsi:type="dcterms:W3CDTF">2015-06-05T18:19:34Z</dcterms:created>
  <dcterms:modified xsi:type="dcterms:W3CDTF">2026-08-29T23:30:11Z</dcterms:modified>
  <cp:category/>
  <cp:contentStatus/>
</cp:coreProperties>
</file>