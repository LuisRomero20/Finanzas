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Listas Validadas" sheetId="1" r:id="rId1" state="hidden"/>
    <sheet name="Estadistica" sheetId="2" r:id="rId2"/>
    <sheet name="Maestro" sheetId="3" r:id="rId3"/>
    <sheet name="maestrov2" sheetId="4" r:id="rId4"/>
    <sheet name="Presupuesto Anual 2026" sheetId="5" r:id="rId5"/>
  </sheets>
  <definedNames>
    <definedName name="_xlnm._FilterDatabase" localSheetId="1" hidden="1">Estadistica!$M$8:$N$50</definedName>
    <definedName name="_xlnm._FilterDatabase" localSheetId="2" hidden="1">'Maestro'!L682:Q705</definedName>
    <definedName name="_xlnm._FilterDatabase" localSheetId="3" hidden="1">'Presupuesto Anual 2026'!$C$98:$C$115</definedName>
  </definedNames>
</workbook>
</file>

<file path=xl/comments2.xml><?xml version="1.0" encoding="utf-8"?>
<comments xmlns="http://schemas.openxmlformats.org/spreadsheetml/2006/main">
  <authors>
    <author>Luis Romero</author>
  </authors>
  <commentList>
    <comment ref="E47" authorId="0">
      <text>
        <t xml:space="preserve">Luis Romero:
Se pagará desde enero a mayo</t>
      </text>
    </comment>
  </commentList>
</comments>
</file>

<file path=xl/comments5.xml><?xml version="1.0" encoding="utf-8"?>
<comments xmlns="http://schemas.openxmlformats.org/spreadsheetml/2006/main">
  <authors>
    <author>Luis Romero</author>
  </authors>
  <commentList>
    <comment ref="F45" authorId="0">
      <text>
        <t xml:space="preserve">Luis Romero:
Cubre la cuota de diciembre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4" formatCode="_-&quot;S/&quot;\ * #,##0.00_-;\-&quot;S/&quot;\ * #,##0.00_-;_-&quot;S/&quot;\ * &quot;-&quot;??_-;_-@_-"/>
    <numFmt numFmtId="56" formatCode="&quot;上午/下午 &quot;hh&quot;時&quot;mm&quot;分&quot;ss&quot;秒 &quot;"/>
    <numFmt numFmtId="60" formatCode="yyyy-mm-dd"/>
    <numFmt numFmtId="165" formatCode="yyyy\-mm\-dd"/>
    <numFmt numFmtId="166" formatCode="&quot;S/&quot;\ #,##0.00"/>
    <numFmt numFmtId="167" formatCode="[$$-540A]#,##0.00_ ;\-[$$-540A]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Tipo</v>
      </c>
      <c r="C1" t="str">
        <v>Cat. Ingreso</v>
      </c>
      <c r="D1" t="str">
        <v xml:space="preserve"> </v>
      </c>
      <c r="E1" t="str">
        <v>Cat. Egreso</v>
      </c>
      <c r="G1" t="str">
        <v>Meses</v>
      </c>
    </row>
    <row r="2">
      <c r="A2" t="str">
        <v>Ingreso</v>
      </c>
      <c r="C2" t="str">
        <v>Sueldo</v>
      </c>
      <c r="E2" t="str">
        <v>Servicios</v>
      </c>
      <c r="G2" t="str">
        <v>Enero</v>
      </c>
    </row>
    <row r="3">
      <c r="A3" t="str">
        <v>Egreso</v>
      </c>
      <c r="C3" t="str">
        <v>Negocio</v>
      </c>
      <c r="E3" t="str">
        <v>Gastos</v>
      </c>
      <c r="G3" t="str">
        <v>Febrero</v>
      </c>
    </row>
    <row r="4">
      <c r="C4" t="str">
        <v>Otros</v>
      </c>
      <c r="E4" t="str">
        <v>Deudas</v>
      </c>
      <c r="G4" t="str">
        <v>Marzo</v>
      </c>
    </row>
    <row r="5">
      <c r="C5" t="str">
        <v>Ahorros</v>
      </c>
      <c r="G5" t="str">
        <v>Abril</v>
      </c>
    </row>
    <row r="6">
      <c r="G6" t="str">
        <v>Mayo</v>
      </c>
    </row>
    <row r="7">
      <c r="G7" t="str">
        <v>Junio</v>
      </c>
    </row>
    <row r="8">
      <c r="G8" t="str">
        <v>Julio</v>
      </c>
    </row>
    <row r="9">
      <c r="G9" t="str">
        <v>Agosto</v>
      </c>
    </row>
    <row r="10">
      <c r="G10" t="str">
        <v>Setiembre</v>
      </c>
    </row>
    <row r="11">
      <c r="G11" t="str">
        <v>Octubre</v>
      </c>
    </row>
    <row r="12">
      <c r="G12" t="str">
        <v>Noviembre</v>
      </c>
    </row>
    <row r="13">
      <c r="G13" t="str">
        <v>Diciembre</v>
      </c>
    </row>
  </sheetData>
  <pageMargins left="0.7" right="0.7" top="0.75" bottom="0.75" header="0.3" footer="0.3"/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N55"/>
  <sheetViews>
    <sheetView workbookViewId="0" rightToLeft="0"/>
  </sheetViews>
  <sheetData>
    <row r="1">
      <c r="B1" t="str">
        <v>Selecciona el mes</v>
      </c>
    </row>
    <row r="2" xml:space="preserve">
      <c r="B2" t="str">
        <v>Setiembre</v>
      </c>
      <c r="G2" t="str">
        <v>Saldo Liquido</v>
      </c>
      <c r="H2" t="e" xml:space="preserve">
        <f xml:space="preserve">SUMIFS(#REF!, #REF!, "Ingreso", #REF!, "Interbank", #REF!, $B$2)
-
SUMIFS(#REF!, #REF!, "Egreso", #REF!, "Interbank", #REF!, $B$2)</f>
        <v>#REF!</v>
      </c>
      <c r="J2" t="str">
        <v>Saldo Total Disponible</v>
      </c>
    </row>
    <row r="3" xml:space="preserve">
      <c r="G3" t="str">
        <v>Saldo Digital ITKB</v>
      </c>
      <c r="H3" t="e" xml:space="preserve">
        <f xml:space="preserve">SUMIFS(#REF!, #REF!, "Ingreso", #REF!, "Interbank Amex", #REF!, $B$2)
-
SUMIFS(#REF!, #REF!, "Egreso", #REF!, "Interbank Amex", #REF!, $B$2)</f>
        <v>#REF!</v>
      </c>
      <c r="J3" t="e">
        <f>H2+H3+D36+D35+H4+H5</f>
        <v>#REF!</v>
      </c>
    </row>
    <row r="4" xml:space="preserve">
      <c r="G4" t="str">
        <v>Saldo Digital Ripley</v>
      </c>
      <c r="H4" t="e" xml:space="preserve">
        <f xml:space="preserve">SUMIFS(#REF!, #REF!, "Ingreso", #REF!, "Ripley", #REF!, $B$2)
-
SUMIFS(#REF!, #REF!, "Egreso", #REF!, "Ripley", #REF!, $B$2)</f>
        <v>#REF!</v>
      </c>
    </row>
    <row r="5" xml:space="preserve">
      <c r="G5" t="str">
        <v>Saldo Digital BBVA</v>
      </c>
      <c r="H5" t="e" xml:space="preserve">
        <f xml:space="preserve">SUMIFS(#REF!, #REF!, "Ingreso", #REF!, "BBVA Bfree", #REF!, $B$2)
-
SUMIFS(#REF!, #REF!, "Egreso", #REF!, "BBVA Bfree", #REF!, $B$2)</f>
        <v>#REF!</v>
      </c>
    </row>
    <row r="7">
      <c r="J7" t="str">
        <v>Servicio</v>
      </c>
      <c r="M7" t="str">
        <v>Gasto</v>
      </c>
    </row>
    <row r="8">
      <c r="B8" t="str">
        <v>Ingresos Totales</v>
      </c>
      <c r="F8" t="str">
        <v>Egresos Totales</v>
      </c>
      <c r="J8" t="str">
        <v>Concepto</v>
      </c>
      <c r="K8" t="str">
        <v>Monto</v>
      </c>
      <c r="M8" t="str">
        <v>Concepto</v>
      </c>
      <c r="N8" t="str">
        <v>Monto</v>
      </c>
    </row>
    <row r="9">
      <c r="B9" t="e">
        <f>SUMIFS(Maestro!E2:E705,#REF!,Estadistica!$B$2,#REF!,"Ingreso")</f>
        <v>#REF!</v>
      </c>
      <c r="F9" t="e">
        <f>SUMIFS(Maestro!E2:E705,#REF!,Estadistica!$B$2,#REF!,"Egreso")</f>
        <v>#REF!</v>
      </c>
      <c r="J9" t="e" cm="1">
        <f t="array" ref="J9">_xludf.UNIQUE(_xlws.FILTER(#REF!,(#REF!=$B$2)*(#REF!=J7)))</f>
        <v>#NAME?</v>
      </c>
      <c r="K9" t="e">
        <f>SUMIFS(Maestro!$E$2:$E$705,#REF!,Estadistica!$B$2,#REF!,J9)</f>
        <v>#REF!</v>
      </c>
      <c r="M9" t="e" cm="1">
        <f t="array" ref="M9">_xludf.UNIQUE(_xlws.FILTER(#REF!,(#REF!=$B$2)*(#REF!=M7)))</f>
        <v>#NAME?</v>
      </c>
      <c r="N9" t="e">
        <f>SUMIFS(Maestro!$E$2:$E$705,#REF!,Estadistica!$B$2,#REF!,M9)</f>
        <v>#REF!</v>
      </c>
    </row>
    <row r="10">
      <c r="K10" t="e">
        <f>SUMIFS(Maestro!$E$2:$E$705,#REF!,Estadistica!$B$2,#REF!,J10)</f>
        <v>#REF!</v>
      </c>
      <c r="N10" t="e">
        <f>SUMIFS(Maestro!$E$2:$E$705,#REF!,Estadistica!$B$2,#REF!,M10)</f>
        <v>#REF!</v>
      </c>
    </row>
    <row r="11">
      <c r="B11" t="str">
        <v>Resumen de Ingresos</v>
      </c>
      <c r="F11" t="str">
        <v>Resumen de Egresos</v>
      </c>
      <c r="K11" t="e">
        <f>SUMIFS(Maestro!$E$2:$E$705,#REF!,Estadistica!$B$2,#REF!,J11)</f>
        <v>#REF!</v>
      </c>
      <c r="N11" t="e">
        <f>SUMIFS(Maestro!$E$2:$E$705,#REF!,Estadistica!$B$2,#REF!,M11)</f>
        <v>#REF!</v>
      </c>
    </row>
    <row r="12">
      <c r="B12" t="str">
        <v>Categoria</v>
      </c>
      <c r="C12" t="str">
        <v>Monto</v>
      </c>
      <c r="F12" t="str">
        <v>Categoria</v>
      </c>
      <c r="G12" t="str">
        <v>Monto</v>
      </c>
      <c r="K12" t="e">
        <f>SUMIFS(Maestro!$E$2:$E$705,#REF!,Estadistica!$B$2,#REF!,J12)</f>
        <v>#REF!</v>
      </c>
      <c r="N12" t="e">
        <f>SUMIFS(Maestro!$E$2:$E$705,#REF!,Estadistica!$B$2,#REF!,M12)</f>
        <v>#REF!</v>
      </c>
    </row>
    <row r="13">
      <c r="B13" t="e" cm="1">
        <f t="array" ref="B13">_xludf.UNIQUE(_xlws.FILTER(#REF!,(#REF!=$B$2)*(#REF!="Ingreso")))</f>
        <v>#NAME?</v>
      </c>
      <c r="C13" t="e">
        <f>SUMIFS(Maestro!$E$2:$E$705,#REF!,Estadistica!$B$2,#REF!,B13)</f>
        <v>#REF!</v>
      </c>
      <c r="F13" t="e" cm="1">
        <f t="array" ref="F13">_xludf.UNIQUE(_xlws.FILTER(#REF!,(#REF!=$B$2)*(#REF!="Egreso")))</f>
        <v>#NAME?</v>
      </c>
      <c r="G13" t="e">
        <f>SUMIFS(Maestro!$E$2:$E$705,#REF!,Estadistica!$B$2,#REF!,F13)</f>
        <v>#REF!</v>
      </c>
      <c r="K13" t="e">
        <f>SUMIFS(Maestro!$E$2:$E$705,#REF!,Estadistica!$B$2,#REF!,J13)</f>
        <v>#REF!</v>
      </c>
      <c r="N13" t="e">
        <f>SUMIFS(Maestro!$E$2:$E$705,#REF!,Estadistica!$B$2,#REF!,M13)</f>
        <v>#REF!</v>
      </c>
    </row>
    <row r="14">
      <c r="C14" t="e">
        <f>SUMIFS(Maestro!$E$2:$E$705,#REF!,Estadistica!$B$2,#REF!,B14)</f>
        <v>#REF!</v>
      </c>
      <c r="G14" t="e">
        <f>SUMIFS(Maestro!$E$2:$E$705,#REF!,Estadistica!$B$2,#REF!,F14)</f>
        <v>#REF!</v>
      </c>
      <c r="K14" t="e">
        <f>SUMIFS(Maestro!$E$2:$E$705,#REF!,Estadistica!$B$2,#REF!,J14)</f>
        <v>#REF!</v>
      </c>
      <c r="N14" t="e">
        <f>SUMIFS(Maestro!$E$2:$E$705,#REF!,Estadistica!$B$2,#REF!,M14)</f>
        <v>#REF!</v>
      </c>
    </row>
    <row r="15">
      <c r="C15" t="e">
        <f>SUMIFS(Maestro!$E$2:$E$705,#REF!,Estadistica!$B$2,#REF!,B15)</f>
        <v>#REF!</v>
      </c>
      <c r="G15" t="e">
        <f>SUMIFS(Maestro!$E$2:$E$705,#REF!,Estadistica!$B$2,#REF!,F15)</f>
        <v>#REF!</v>
      </c>
      <c r="K15" t="e">
        <f>SUMIFS(Maestro!$E$2:$E$705,#REF!,Estadistica!$B$2,#REF!,J15)</f>
        <v>#REF!</v>
      </c>
      <c r="N15" t="e">
        <f>SUMIFS(Maestro!$E$2:$E$705,#REF!,Estadistica!$B$2,#REF!,M15)</f>
        <v>#REF!</v>
      </c>
    </row>
    <row r="16">
      <c r="C16" t="e">
        <f>SUMIFS(Maestro!$E$2:$E$705,#REF!,Estadistica!$B$2,#REF!,B16)</f>
        <v>#REF!</v>
      </c>
      <c r="G16" t="e">
        <f>SUMIFS(Maestro!$E$2:$E$705,#REF!,Estadistica!$B$2,#REF!,F16)</f>
        <v>#REF!</v>
      </c>
      <c r="K16" t="e">
        <f>SUMIFS(Maestro!$E$2:$E$705,#REF!,Estadistica!$B$2,#REF!,J16)</f>
        <v>#REF!</v>
      </c>
      <c r="N16" t="e">
        <f>SUMIFS(Maestro!$E$2:$E$705,#REF!,Estadistica!$B$2,#REF!,M16)</f>
        <v>#REF!</v>
      </c>
    </row>
    <row r="17">
      <c r="C17" t="e">
        <f>SUMIFS(Maestro!$E$2:$E$705,#REF!,Estadistica!$B$2,#REF!,B17)</f>
        <v>#REF!</v>
      </c>
      <c r="G17" t="e">
        <f>SUMIFS(Maestro!$E$2:$E$705,#REF!,Estadistica!$B$2,#REF!,F17)</f>
        <v>#REF!</v>
      </c>
      <c r="K17" t="e">
        <f>SUMIFS(Maestro!$E$2:$E$705,#REF!,Estadistica!$B$2,#REF!,J17)</f>
        <v>#REF!</v>
      </c>
      <c r="N17" t="e">
        <f>SUMIFS(Maestro!$E$2:$E$705,#REF!,Estadistica!$B$2,#REF!,M17)</f>
        <v>#REF!</v>
      </c>
    </row>
    <row r="18">
      <c r="C18" t="e">
        <f>SUMIFS(Maestro!$E$2:$E$705,#REF!,Estadistica!$B$2,#REF!,B18)</f>
        <v>#REF!</v>
      </c>
      <c r="G18" t="e">
        <f>SUMIFS(Maestro!$E$2:$E$705,#REF!,Estadistica!$B$2,#REF!,F18)</f>
        <v>#REF!</v>
      </c>
      <c r="K18" t="e">
        <f>SUMIFS(Maestro!$E$2:$E$705,#REF!,Estadistica!$B$2,#REF!,J18)</f>
        <v>#REF!</v>
      </c>
      <c r="N18" t="e">
        <f>SUMIFS(Maestro!$E$2:$E$705,#REF!,Estadistica!$B$2,#REF!,M18)</f>
        <v>#REF!</v>
      </c>
    </row>
    <row r="19">
      <c r="B19" t="str">
        <v>Total</v>
      </c>
      <c r="C19" t="e">
        <f>SUM(C13:C18)</f>
        <v>#REF!</v>
      </c>
      <c r="F19" t="str">
        <v>Total</v>
      </c>
      <c r="G19" t="e">
        <f>SUM(G13:G18)</f>
        <v>#REF!</v>
      </c>
      <c r="K19" t="e">
        <f>SUMIFS(Maestro!$E$2:$E$705,#REF!,Estadistica!$B$2,#REF!,J19)</f>
        <v>#REF!</v>
      </c>
      <c r="N19" t="e">
        <f>SUMIFS(Maestro!$E$2:$E$705,#REF!,Estadistica!$B$2,#REF!,M19)</f>
        <v>#REF!</v>
      </c>
    </row>
    <row r="20">
      <c r="K20" t="e">
        <f>SUMIFS(Maestro!$E$2:$E$705,#REF!,Estadistica!$B$2,#REF!,J20)</f>
        <v>#REF!</v>
      </c>
      <c r="N20" t="e">
        <f>SUMIFS(Maestro!$E$2:$E$705,#REF!,Estadistica!$B$2,#REF!,M20)</f>
        <v>#REF!</v>
      </c>
    </row>
    <row r="21">
      <c r="J21" t="str">
        <v>Total</v>
      </c>
      <c r="K21" t="e">
        <f>SUM(K9:K20)</f>
        <v>#REF!</v>
      </c>
      <c r="N21" t="e">
        <f>SUMIFS(Maestro!$E$2:$E$705,#REF!,Estadistica!$B$2,#REF!,M21)</f>
        <v>#REF!</v>
      </c>
    </row>
    <row r="22">
      <c r="N22" t="e">
        <f>SUMIFS(Maestro!$E$2:$E$705,#REF!,Estadistica!$B$2,#REF!,M22)</f>
        <v>#REF!</v>
      </c>
    </row>
    <row r="23">
      <c r="F23" t="str">
        <v>Otro Egre</v>
      </c>
      <c r="J23" t="str">
        <v>Otro Ing</v>
      </c>
      <c r="N23" t="e">
        <f>SUMIFS(Maestro!$E$2:$E$705,#REF!,Estadistica!$B$2,#REF!,M23)</f>
        <v>#REF!</v>
      </c>
    </row>
    <row r="24">
      <c r="B24" t="str">
        <v>Cuentas Bancarias</v>
      </c>
      <c r="F24" t="str">
        <v>Concepto</v>
      </c>
      <c r="G24" t="str">
        <v>Monto</v>
      </c>
      <c r="J24" t="str">
        <v>Concepto</v>
      </c>
      <c r="K24" t="str">
        <v>Monto</v>
      </c>
      <c r="N24" t="e">
        <f>SUMIFS(Maestro!$E$2:$E$705,#REF!,Estadistica!$B$2,#REF!,M24)</f>
        <v>#REF!</v>
      </c>
    </row>
    <row r="25">
      <c r="B25" t="str">
        <v>Interbank - Cuenta Simple</v>
      </c>
      <c r="D25" t="e">
        <f>H2</f>
        <v>#REF!</v>
      </c>
      <c r="F25" t="e" cm="1">
        <f t="array" ref="F25">_xludf.UNIQUE(_xlws.FILTER(#REF!,(#REF!=$B$2)*(#REF!=F23)))</f>
        <v>#NAME?</v>
      </c>
      <c r="G25" t="e">
        <f>SUMIFS(Maestro!$E$2:$E$705,#REF!,Estadistica!$B$2,#REF!,F25)</f>
        <v>#REF!</v>
      </c>
      <c r="H25" t="str">
        <v xml:space="preserve"> </v>
      </c>
      <c r="J25" t="e" cm="1">
        <f t="array" ref="J25">_xludf.UNIQUE(_xlws.FILTER(#REF!,(#REF!=$B$2)*(#REF!=J23)))</f>
        <v>#NAME?</v>
      </c>
      <c r="K25" t="e">
        <f>SUMIFS(Maestro!$E$2:$E$705,#REF!,Estadistica!$B$2,#REF!,J25)</f>
        <v>#REF!</v>
      </c>
      <c r="N25" t="e">
        <f>SUMIFS(Maestro!$E$2:$E$705,#REF!,Estadistica!$B$2,#REF!,M25)</f>
        <v>#REF!</v>
      </c>
    </row>
    <row r="26">
      <c r="B26" t="str">
        <v>Scotiabank</v>
      </c>
      <c r="D26">
        <v>0</v>
      </c>
      <c r="G26" t="e">
        <f>SUMIFS(Maestro!$E$2:$E$705,#REF!,Estadistica!$B$2,#REF!,F26)</f>
        <v>#REF!</v>
      </c>
      <c r="K26" t="e">
        <f>SUMIFS(Maestro!$E$2:$E$705,#REF!,Estadistica!$B$2,#REF!,J26)</f>
        <v>#REF!</v>
      </c>
      <c r="N26" t="e">
        <f>SUMIFS(Maestro!$E$2:$E$705,#REF!,Estadistica!$B$2,#REF!,M26)</f>
        <v>#REF!</v>
      </c>
    </row>
    <row r="27">
      <c r="B27" t="str">
        <v>Interbank - Cuenta Crédito (Gastado)</v>
      </c>
      <c r="D27" t="e">
        <f>1000-D28</f>
        <v>#REF!</v>
      </c>
      <c r="G27" t="e">
        <f>SUMIFS(Maestro!$E$2:$E$705,#REF!,Estadistica!$B$2,#REF!,F27)</f>
        <v>#REF!</v>
      </c>
      <c r="K27" t="e">
        <f>SUMIFS(Maestro!$E$2:$E$705,#REF!,Estadistica!$B$2,#REF!,J27)</f>
        <v>#REF!</v>
      </c>
      <c r="N27" t="e">
        <f>SUMIFS(Maestro!$E$2:$E$705,#REF!,Estadistica!$B$2,#REF!,M27)</f>
        <v>#REF!</v>
      </c>
    </row>
    <row r="28">
      <c r="B28" t="str">
        <v>Interbank - Cuenta Crédito</v>
      </c>
      <c r="D28" t="e">
        <f>H3</f>
        <v>#REF!</v>
      </c>
      <c r="G28" t="e">
        <f>SUMIFS(Maestro!$E$2:$E$705,#REF!,Estadistica!$B$2,#REF!,F28)</f>
        <v>#REF!</v>
      </c>
      <c r="K28" t="e">
        <f>SUMIFS(Maestro!$E$2:$E$705,#REF!,Estadistica!$B$2,#REF!,J28)</f>
        <v>#REF!</v>
      </c>
      <c r="N28" t="e">
        <f>SUMIFS(Maestro!$E$2:$E$705,#REF!,Estadistica!$B$2,#REF!,M28)</f>
        <v>#REF!</v>
      </c>
    </row>
    <row r="29">
      <c r="B29" t="str">
        <v>Ripley - Cuenta Crédito (Gastado)</v>
      </c>
      <c r="D29" t="e">
        <f>1000-D30</f>
        <v>#REF!</v>
      </c>
      <c r="G29" t="e">
        <f>SUMIFS(Maestro!$E$2:$E$705,#REF!,Estadistica!$B$2,#REF!,F29)</f>
        <v>#REF!</v>
      </c>
      <c r="K29" t="e">
        <f>SUMIFS(Maestro!$E$2:$E$705,#REF!,Estadistica!$B$2,#REF!,J29)</f>
        <v>#REF!</v>
      </c>
      <c r="N29" t="e">
        <f>SUMIFS(Maestro!$E$2:$E$705,#REF!,Estadistica!$B$2,#REF!,M29)</f>
        <v>#REF!</v>
      </c>
    </row>
    <row r="30">
      <c r="B30" t="str">
        <v>Ripley - Cuenta Crédito</v>
      </c>
      <c r="D30" t="e">
        <f>H4</f>
        <v>#REF!</v>
      </c>
      <c r="G30" t="e">
        <f>SUMIFS(Maestro!$E$2:$E$705,#REF!,Estadistica!$B$2,#REF!,F30)</f>
        <v>#REF!</v>
      </c>
      <c r="K30" t="e">
        <f>SUMIFS(Maestro!$E$2:$E$705,#REF!,Estadistica!$B$2,#REF!,J30)</f>
        <v>#REF!</v>
      </c>
      <c r="N30" t="e">
        <f>SUMIFS(Maestro!$E$2:$E$705,#REF!,Estadistica!$B$2,#REF!,M30)</f>
        <v>#REF!</v>
      </c>
    </row>
    <row r="31">
      <c r="B31" t="str">
        <v>BBVA - Cuenta Crédito (Gastado)</v>
      </c>
      <c r="D31" t="e">
        <f>700-D32</f>
        <v>#REF!</v>
      </c>
      <c r="G31" t="e">
        <f>SUMIFS(Maestro!$E$2:$E$705,#REF!,Estadistica!$B$2,#REF!,F31)</f>
        <v>#REF!</v>
      </c>
      <c r="K31" t="e">
        <f>SUMIFS(Maestro!$E$2:$E$705,#REF!,Estadistica!$B$2,#REF!,J31)</f>
        <v>#REF!</v>
      </c>
      <c r="N31" t="e">
        <f>SUMIFS(Maestro!$E$2:$E$705,#REF!,Estadistica!$B$2,#REF!,M31)</f>
        <v>#REF!</v>
      </c>
    </row>
    <row r="32">
      <c r="B32" t="str">
        <v>BBVA - Cuenta Crédito</v>
      </c>
      <c r="D32" t="e">
        <f>H5</f>
        <v>#REF!</v>
      </c>
      <c r="F32" t="str">
        <v>Total</v>
      </c>
      <c r="G32" t="e">
        <f>SUM(G25:G31)</f>
        <v>#REF!</v>
      </c>
      <c r="J32" t="str">
        <v>Total</v>
      </c>
      <c r="K32" t="e">
        <f>SUM(K25:K31)</f>
        <v>#REF!</v>
      </c>
      <c r="N32" t="e">
        <f>SUMIFS(Maestro!$E$2:$E$705,#REF!,Estadistica!$B$2,#REF!,M32)</f>
        <v>#REF!</v>
      </c>
    </row>
    <row r="33">
      <c r="B33" t="str">
        <v>BBVA - Cuenta Debito (Soles)</v>
      </c>
      <c r="D33">
        <v>0</v>
      </c>
      <c r="N33" t="e">
        <f>SUMIFS(Maestro!$E$2:$E$705,#REF!,Estadistica!$B$2,#REF!,M33)</f>
        <v>#REF!</v>
      </c>
    </row>
    <row r="34">
      <c r="B34" t="str">
        <v>BBVA - Cuenta Debito (Dolares)</v>
      </c>
      <c r="D34">
        <v>0</v>
      </c>
      <c r="N34" t="e">
        <f>SUMIFS(Maestro!$E$2:$E$705,#REF!,Estadistica!$B$2,#REF!,M34)</f>
        <v>#REF!</v>
      </c>
    </row>
    <row r="35" xml:space="preserve">
      <c r="B35" t="str">
        <v>BCP - Cuenta Debito</v>
      </c>
      <c r="D35" t="e" xml:space="preserve">
        <f xml:space="preserve">SUMIFS(#REF!, #REF!, "Ingreso", #REF!, "BCP", #REF!, $B$2)
-
SUMIFS(#REF!, #REF!, "Egreso", #REF!, "BCP", #REF!, $B$2)</f>
        <v>#REF!</v>
      </c>
      <c r="F35" t="str">
        <v>Suministros de Servicios</v>
      </c>
      <c r="N35" t="e">
        <f>SUMIFS(Maestro!$E$2:$E$705,#REF!,Estadistica!$B$2,#REF!,M35)</f>
        <v>#REF!</v>
      </c>
    </row>
    <row r="36">
      <c r="B36" t="str">
        <v>Efectivo</v>
      </c>
      <c r="D36">
        <v>0.4</v>
      </c>
      <c r="F36" t="str">
        <v>Luz - PLUZ</v>
      </c>
      <c r="H36">
        <v>2320381</v>
      </c>
      <c r="N36" t="e">
        <f>SUMIFS(Maestro!$E$2:$E$705,#REF!,Estadistica!$B$2,#REF!,M36)</f>
        <v>#REF!</v>
      </c>
    </row>
    <row r="37">
      <c r="F37" t="str">
        <v>Gas Natural</v>
      </c>
      <c r="H37">
        <v>145300</v>
      </c>
      <c r="N37" t="e">
        <f>SUMIFS(Maestro!$E$2:$E$705,#REF!,Estadistica!$B$2,#REF!,M37)</f>
        <v>#REF!</v>
      </c>
    </row>
    <row r="38">
      <c r="B38" t="str">
        <v>Cuentas Bancarias (Ahorro / Reserva)</v>
      </c>
      <c r="F38" t="str">
        <v>Mantenimiento - Agua</v>
      </c>
      <c r="H38" t="str">
        <v>CtaN°</v>
      </c>
      <c r="J38" t="str">
        <v>Deuda</v>
      </c>
      <c r="N38" t="e">
        <f>SUMIFS(Maestro!$E$2:$E$705,#REF!,Estadistica!$B$2,#REF!,M38)</f>
        <v>#REF!</v>
      </c>
    </row>
    <row r="39">
      <c r="B39" t="str">
        <v>AFP - Integra</v>
      </c>
      <c r="D39">
        <v>1827.54</v>
      </c>
      <c r="J39" t="str">
        <v>Concepto</v>
      </c>
      <c r="K39" t="str">
        <v>Monto</v>
      </c>
      <c r="N39" t="e">
        <f>SUMIFS(Maestro!$E$2:$E$705,#REF!,Estadistica!$B$2,#REF!,M39)</f>
        <v>#REF!</v>
      </c>
    </row>
    <row r="40">
      <c r="B40" t="str">
        <v>Interbank - Alcancía</v>
      </c>
      <c r="D40">
        <v>0</v>
      </c>
      <c r="G40" t="str">
        <v>Cuentas Anexadas</v>
      </c>
      <c r="H40" t="str">
        <v>Entidad</v>
      </c>
      <c r="J40" t="e" cm="1">
        <f t="array" ref="J40">_xludf.UNIQUE(_xlws.FILTER(#REF!,(#REF!=$B$2)*(#REF!=J38)))</f>
        <v>#NAME?</v>
      </c>
      <c r="K40" t="e">
        <f>SUMIFS(Maestro!$E$2:$E$705,#REF!,Estadistica!$B$2,#REF!,J40)</f>
        <v>#REF!</v>
      </c>
      <c r="N40" t="e">
        <f>SUMIFS(Maestro!$E$2:$E$705,#REF!,Estadistica!$B$2,#REF!,M40)</f>
        <v>#REF!</v>
      </c>
    </row>
    <row r="41">
      <c r="B41" t="str">
        <v>Interbank - Servicios</v>
      </c>
      <c r="D41">
        <v>0</v>
      </c>
      <c r="G41" t="str">
        <v>Apple</v>
      </c>
      <c r="H41" t="str">
        <v>Interbank</v>
      </c>
      <c r="K41" t="e">
        <f>SUMIFS(Maestro!$E$2:$E$705,#REF!,Estadistica!$B$2,#REF!,J41)</f>
        <v>#REF!</v>
      </c>
      <c r="N41" t="e">
        <f>SUMIFS(Maestro!$E$2:$E$705,#REF!,Estadistica!$B$2,#REF!,M41)</f>
        <v>#REF!</v>
      </c>
    </row>
    <row r="42">
      <c r="B42" t="str">
        <v>Interbank - Viaje</v>
      </c>
      <c r="D42">
        <v>0</v>
      </c>
      <c r="G42" t="str">
        <v>Mercado Libre</v>
      </c>
      <c r="H42" t="str">
        <v>Interbank Amex</v>
      </c>
      <c r="K42" t="e">
        <f>SUMIFS(Maestro!$E$2:$E$705,#REF!,Estadistica!$B$2,#REF!,J42)</f>
        <v>#REF!</v>
      </c>
      <c r="N42" t="e">
        <f>SUMIFS(Maestro!$E$2:$E$705,#REF!,Estadistica!$B$2,#REF!,M42)</f>
        <v>#REF!</v>
      </c>
    </row>
    <row r="43">
      <c r="B43" t="str">
        <v>Interbank - Titulación</v>
      </c>
      <c r="D43">
        <v>620</v>
      </c>
      <c r="G43" t="str">
        <v>Mercado Pago</v>
      </c>
      <c r="H43" t="str">
        <v>Interbank Amex</v>
      </c>
      <c r="K43" t="e">
        <f>SUMIFS(Maestro!$E$2:$E$705,#REF!,Estadistica!$B$2,#REF!,J43)</f>
        <v>#REF!</v>
      </c>
      <c r="N43" t="e">
        <f>SUMIFS(Maestro!$E$2:$E$705,#REF!,Estadistica!$B$2,#REF!,M43)</f>
        <v>#REF!</v>
      </c>
    </row>
    <row r="44">
      <c r="G44" t="str">
        <v>Spotify</v>
      </c>
      <c r="H44" t="str">
        <v>Interbank Amex</v>
      </c>
      <c r="K44" t="e">
        <f>SUMIFS(Maestro!$E$2:$E$705,#REF!,Estadistica!$B$2,#REF!,J44)</f>
        <v>#REF!</v>
      </c>
      <c r="N44" t="e">
        <f>SUMIFS(Maestro!$E$2:$E$705,#REF!,Estadistica!$B$2,#REF!,M44)</f>
        <v>#REF!</v>
      </c>
    </row>
    <row r="45">
      <c r="B45" t="str">
        <v>Deudas</v>
      </c>
      <c r="E45" t="str">
        <v>Meta</v>
      </c>
      <c r="G45" t="str">
        <v>Uber</v>
      </c>
      <c r="H45" t="str">
        <v>Interbank Amex</v>
      </c>
      <c r="K45" t="e">
        <f>SUMIFS(Maestro!$E$2:$E$705,#REF!,Estadistica!$B$2,#REF!,J45)</f>
        <v>#REF!</v>
      </c>
      <c r="N45" t="e">
        <f>SUMIFS(Maestro!$E$2:$E$705,#REF!,Estadistica!$B$2,#REF!,M45)</f>
        <v>#REF!</v>
      </c>
    </row>
    <row r="46">
      <c r="D46" t="str">
        <v>Pagado</v>
      </c>
      <c r="E46" t="str">
        <v>Debo o Debe</v>
      </c>
      <c r="G46" t="str">
        <v>DidiFood</v>
      </c>
      <c r="H46" t="str">
        <v>Interbank Amex</v>
      </c>
      <c r="J46" t="str">
        <v>Total</v>
      </c>
      <c r="K46" t="e">
        <f>SUM(K40:K45)</f>
        <v>#REF!</v>
      </c>
      <c r="M46" t="str">
        <v>Total</v>
      </c>
      <c r="N46" t="e">
        <f>SUM(N9:N45)</f>
        <v>#REF!</v>
      </c>
    </row>
    <row r="47">
      <c r="B47" t="str">
        <v>Interbank - Madre [5 meses]</v>
      </c>
      <c r="D47" t="e">
        <f>SUMIFS(#REF!, #REF!, "Madre",#REF!,"Deuda")</f>
        <v>#REF!</v>
      </c>
      <c r="E47" t="e">
        <f>2500-D47</f>
        <v>#REF!</v>
      </c>
    </row>
    <row r="48">
      <c r="B48" t="str">
        <v>Prestamo BCP [12 meses]</v>
      </c>
      <c r="D48" t="e">
        <f>SUMIFS(#REF!, #REF!, "Prestamo BCP",#REF!,"Deuda")</f>
        <v>#REF!</v>
      </c>
      <c r="E48" t="e">
        <f>1717.92-D48</f>
        <v>#REF!</v>
      </c>
    </row>
    <row r="49">
      <c r="B49" t="str">
        <v>Prestamo Yape [6 meses]</v>
      </c>
      <c r="D49" t="e">
        <f>SUMIFS(#REF!, #REF!, "Prestamo Yape",#REF!,"Deuda")</f>
        <v>#REF!</v>
      </c>
      <c r="E49" t="e">
        <f>701.05-D49</f>
        <v>#REF!</v>
      </c>
    </row>
    <row r="50">
      <c r="B50" t="str">
        <v>iPhone 16 [12 meses]</v>
      </c>
      <c r="D50" t="e">
        <f>SUMIFS(#REF!, #REF!, "iPhone 16")</f>
        <v>#REF!</v>
      </c>
      <c r="E50" t="e">
        <f>2949-D50</f>
        <v>#REF!</v>
      </c>
    </row>
    <row r="53">
      <c r="B53" t="str">
        <v>Debo (Pendiente)</v>
      </c>
    </row>
    <row r="54">
      <c r="B54" t="str">
        <v>Padre</v>
      </c>
      <c r="C54">
        <v>80</v>
      </c>
      <c r="D54">
        <v>40</v>
      </c>
    </row>
    <row r="55">
      <c r="B55" t="str">
        <v>Piero</v>
      </c>
      <c r="C55">
        <v>80</v>
      </c>
      <c r="D55">
        <v>120</v>
      </c>
    </row>
  </sheetData>
  <mergeCells count="31">
    <mergeCell ref="B2:C2"/>
    <mergeCell ref="B8:D8"/>
    <mergeCell ref="B33:C33"/>
    <mergeCell ref="B9:D9"/>
    <mergeCell ref="B24:D24"/>
    <mergeCell ref="B26:C26"/>
    <mergeCell ref="B25:C25"/>
    <mergeCell ref="B29:C29"/>
    <mergeCell ref="B30:C30"/>
    <mergeCell ref="J3:J4"/>
    <mergeCell ref="B27:C27"/>
    <mergeCell ref="B28:C28"/>
    <mergeCell ref="B31:C31"/>
    <mergeCell ref="B32:C32"/>
    <mergeCell ref="F8:H8"/>
    <mergeCell ref="F9:H9"/>
    <mergeCell ref="B38:D38"/>
    <mergeCell ref="F37:G37"/>
    <mergeCell ref="F38:G38"/>
    <mergeCell ref="F35:H35"/>
    <mergeCell ref="B53:D53"/>
    <mergeCell ref="B43:C43"/>
    <mergeCell ref="B42:C42"/>
    <mergeCell ref="B55:C55"/>
    <mergeCell ref="B54:C54"/>
    <mergeCell ref="B45:D45"/>
    <mergeCell ref="B46:C46"/>
    <mergeCell ref="B48:C48"/>
    <mergeCell ref="B49:C49"/>
    <mergeCell ref="B50:C50"/>
    <mergeCell ref="B47:C47"/>
  </mergeCells>
  <pageMargins left="0.7" right="0.7" top="0.75" bottom="0.75" header="0.3" footer="0.3"/>
  <ignoredErrors>
    <ignoredError numberStoredAsText="1" sqref="B1:N55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40"/>
  <sheetViews>
    <sheetView workbookViewId="0" rightToLeft="0"/>
  </sheetViews>
  <sheetData>
    <row r="1">
      <c r="A1" t="str">
        <v>Tipo</v>
      </c>
      <c r="B1" t="str">
        <v>Fecha</v>
      </c>
      <c r="C1" t="str">
        <v>Categoría</v>
      </c>
      <c r="D1" t="str">
        <v>Concepto</v>
      </c>
      <c r="E1" t="str">
        <v>Monto</v>
      </c>
      <c r="F1" t="str">
        <v>Entidad</v>
      </c>
      <c r="G1" t="str">
        <v>Mes</v>
      </c>
      <c r="H1" t="str">
        <v>__EMPTY_4</v>
      </c>
      <c r="I1" t="str">
        <v>__EMPTY_7</v>
      </c>
      <c r="J1" t="str">
        <v>__EMPTY_5</v>
      </c>
      <c r="K1" t="str">
        <v>__EMPTY_6</v>
      </c>
      <c r="L1" t="str">
        <v>__EMPTY_8</v>
      </c>
      <c r="M1" t="str">
        <v>__EMPTY_9</v>
      </c>
    </row>
    <row r="2">
      <c r="A2" t="str">
        <v>Ingreso</v>
      </c>
      <c r="B2">
        <v>46023</v>
      </c>
      <c r="C2" t="str">
        <v>Otro Ing</v>
      </c>
      <c r="D2" t="str">
        <v>Bonificación Ahorro</v>
      </c>
      <c r="E2">
        <v>32.02</v>
      </c>
      <c r="F2" t="str">
        <v>Interbank</v>
      </c>
      <c r="G2" t="str">
        <v>Enero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Ingreso</v>
      </c>
      <c r="B3">
        <v>46023</v>
      </c>
      <c r="C3" t="str">
        <v>Sueldo</v>
      </c>
      <c r="D3" t="str">
        <v>Sueldo</v>
      </c>
      <c r="E3">
        <v>2073.06</v>
      </c>
      <c r="F3" t="str">
        <v>Interbank</v>
      </c>
      <c r="G3" t="str">
        <v>Enero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Egreso</v>
      </c>
      <c r="B4">
        <v>46023</v>
      </c>
      <c r="C4" t="str">
        <v>Servicio</v>
      </c>
      <c r="D4" t="str">
        <v>Internet</v>
      </c>
      <c r="E4">
        <v>79</v>
      </c>
      <c r="F4" t="str">
        <v>Interbank</v>
      </c>
      <c r="G4" t="str">
        <v>Enero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Egreso</v>
      </c>
      <c r="B5">
        <v>46023</v>
      </c>
      <c r="C5" t="str">
        <v>Servicio</v>
      </c>
      <c r="D5" t="str">
        <v>Luz</v>
      </c>
      <c r="E5">
        <v>104</v>
      </c>
      <c r="F5" t="str">
        <v>Interbank</v>
      </c>
      <c r="G5" t="str">
        <v>Enero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Egreso</v>
      </c>
      <c r="B6">
        <v>46023</v>
      </c>
      <c r="C6" t="str">
        <v>Servicio</v>
      </c>
      <c r="D6" t="str">
        <v>Gas</v>
      </c>
      <c r="E6">
        <v>29.3</v>
      </c>
      <c r="F6" t="str">
        <v>Interbank</v>
      </c>
      <c r="G6" t="str">
        <v>Enero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Egreso</v>
      </c>
      <c r="B7">
        <v>46023</v>
      </c>
      <c r="C7" t="str">
        <v>Servicio</v>
      </c>
      <c r="D7" t="str">
        <v>Agua + Mantenimiento</v>
      </c>
      <c r="E7">
        <v>128.08</v>
      </c>
      <c r="F7" t="str">
        <v>Interbank</v>
      </c>
      <c r="G7" t="str">
        <v>Enero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Egreso</v>
      </c>
      <c r="B8">
        <v>46023</v>
      </c>
      <c r="C8" t="str">
        <v>Gasto</v>
      </c>
      <c r="D8" t="str">
        <v>Comida</v>
      </c>
      <c r="E8">
        <v>100</v>
      </c>
      <c r="F8" t="str">
        <v>Interbank</v>
      </c>
      <c r="G8" t="str">
        <v>Enero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Egreso</v>
      </c>
      <c r="B9">
        <v>46023</v>
      </c>
      <c r="C9" t="str">
        <v>Servicio</v>
      </c>
      <c r="D9" t="str">
        <v>IA</v>
      </c>
      <c r="E9">
        <v>8</v>
      </c>
      <c r="F9" t="str">
        <v>Interbank</v>
      </c>
      <c r="G9" t="str">
        <v>Enero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Egreso</v>
      </c>
      <c r="B10">
        <v>46023</v>
      </c>
      <c r="C10" t="str">
        <v>Servicio</v>
      </c>
      <c r="D10" t="str">
        <v>Corte de Cabello</v>
      </c>
      <c r="E10">
        <v>20</v>
      </c>
      <c r="F10" t="str">
        <v>Interbank</v>
      </c>
      <c r="G10" t="str">
        <v>Enero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Egreso</v>
      </c>
      <c r="B11">
        <v>46023</v>
      </c>
      <c r="C11" t="str">
        <v>Servicio</v>
      </c>
      <c r="D11" t="str">
        <v>Pago de Tarjeta BBVA Bfree</v>
      </c>
      <c r="E11">
        <v>267.56</v>
      </c>
      <c r="F11" t="str">
        <v>Interbank</v>
      </c>
      <c r="G11" t="str">
        <v>Enero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Ingreso</v>
      </c>
      <c r="B12">
        <v>46023</v>
      </c>
      <c r="C12" t="str">
        <v>Tarjeta</v>
      </c>
      <c r="D12" t="str">
        <v>Linea Tarjeta</v>
      </c>
      <c r="E12">
        <v>379.4</v>
      </c>
      <c r="F12" t="str">
        <v>BBVA Bfree</v>
      </c>
      <c r="G12" t="str">
        <v>Enero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Egreso</v>
      </c>
      <c r="B13">
        <v>46023</v>
      </c>
      <c r="C13" t="str">
        <v>Gasto</v>
      </c>
      <c r="D13" t="str">
        <v>Comida</v>
      </c>
      <c r="E13">
        <v>36.5</v>
      </c>
      <c r="F13" t="str">
        <v>Interbank</v>
      </c>
      <c r="G13" t="str">
        <v>Enero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Egreso</v>
      </c>
      <c r="B14">
        <v>46023</v>
      </c>
      <c r="C14" t="str">
        <v>Gasto</v>
      </c>
      <c r="D14" t="str">
        <v>Taxi</v>
      </c>
      <c r="E14">
        <v>14.1</v>
      </c>
      <c r="F14" t="str">
        <v>BBVA Bfree</v>
      </c>
      <c r="G14" t="str">
        <v>Enero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Egreso</v>
      </c>
      <c r="B15">
        <v>46023</v>
      </c>
      <c r="C15" t="str">
        <v>Gasto</v>
      </c>
      <c r="D15" t="str">
        <v>Vino</v>
      </c>
      <c r="E15">
        <v>34</v>
      </c>
      <c r="F15" t="str">
        <v>Interbank</v>
      </c>
      <c r="G15" t="str">
        <v>Enero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Egreso</v>
      </c>
      <c r="B16">
        <v>46023</v>
      </c>
      <c r="C16" t="str">
        <v>Gasto</v>
      </c>
      <c r="D16" t="str">
        <v>Chifa</v>
      </c>
      <c r="E16">
        <v>36.5</v>
      </c>
      <c r="F16" t="str">
        <v>BBVA Bfree</v>
      </c>
      <c r="G16" t="str">
        <v>Enero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Egreso</v>
      </c>
      <c r="B17">
        <v>46023</v>
      </c>
      <c r="C17" t="str">
        <v>Gasto</v>
      </c>
      <c r="D17" t="str">
        <v>Gaseosa</v>
      </c>
      <c r="E17">
        <v>2.7</v>
      </c>
      <c r="F17" t="str">
        <v>BBVA Bfree</v>
      </c>
      <c r="G17" t="str">
        <v>Enero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Egreso</v>
      </c>
      <c r="B18">
        <v>46023</v>
      </c>
      <c r="C18" t="str">
        <v>Gasto</v>
      </c>
      <c r="D18" t="str">
        <v>Broaster</v>
      </c>
      <c r="E18">
        <v>15.9</v>
      </c>
      <c r="F18" t="str">
        <v>BBVA Bfree</v>
      </c>
      <c r="G18" t="str">
        <v>Enero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Egreso</v>
      </c>
      <c r="B19">
        <v>46023</v>
      </c>
      <c r="C19" t="str">
        <v>Gasto</v>
      </c>
      <c r="D19" t="str">
        <v>Chupete</v>
      </c>
      <c r="E19">
        <v>5</v>
      </c>
      <c r="F19" t="str">
        <v>Interbank</v>
      </c>
      <c r="G19" t="str">
        <v>Enero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Egreso</v>
      </c>
      <c r="B20">
        <v>46023</v>
      </c>
      <c r="C20" t="str">
        <v>Gasto</v>
      </c>
      <c r="D20" t="str">
        <v>Bus</v>
      </c>
      <c r="E20">
        <v>5</v>
      </c>
      <c r="F20" t="str">
        <v>Interbank</v>
      </c>
      <c r="G20" t="str">
        <v>Enero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Egreso</v>
      </c>
      <c r="B21">
        <v>46023</v>
      </c>
      <c r="C21" t="str">
        <v>Gasto</v>
      </c>
      <c r="D21" t="str">
        <v>Concierto Bad Bunny</v>
      </c>
      <c r="E21">
        <v>550.46</v>
      </c>
      <c r="F21" t="str">
        <v>Interbank</v>
      </c>
      <c r="G21" t="str">
        <v>Enero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Egreso</v>
      </c>
      <c r="B22">
        <v>46023</v>
      </c>
      <c r="C22" t="str">
        <v>Gasto</v>
      </c>
      <c r="D22" t="str">
        <v>Broaster</v>
      </c>
      <c r="E22">
        <v>10</v>
      </c>
      <c r="F22" t="str">
        <v>Interbank</v>
      </c>
      <c r="G22" t="str">
        <v>Enero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Egreso</v>
      </c>
      <c r="B23">
        <v>46023</v>
      </c>
      <c r="C23" t="str">
        <v>Gasto</v>
      </c>
      <c r="D23" t="str">
        <v>Condones</v>
      </c>
      <c r="E23">
        <v>20.8</v>
      </c>
      <c r="F23" t="str">
        <v>BBVA Bfree</v>
      </c>
      <c r="G23" t="str">
        <v>Enero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Egreso</v>
      </c>
      <c r="B24">
        <v>46023</v>
      </c>
      <c r="C24" t="str">
        <v>Gasto</v>
      </c>
      <c r="D24" t="str">
        <v>Turron</v>
      </c>
      <c r="E24">
        <v>5</v>
      </c>
      <c r="F24" t="str">
        <v>Interbank</v>
      </c>
      <c r="G24" t="str">
        <v>Enero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Egreso</v>
      </c>
      <c r="B25">
        <v>46023</v>
      </c>
      <c r="C25" t="str">
        <v>Servicio</v>
      </c>
      <c r="D25" t="str">
        <v>Spotify</v>
      </c>
      <c r="E25">
        <v>11.9</v>
      </c>
      <c r="F25" t="str">
        <v>Interbank</v>
      </c>
      <c r="G25" t="str">
        <v>Enero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Egreso</v>
      </c>
      <c r="B26">
        <v>46024</v>
      </c>
      <c r="C26" t="str">
        <v>Gasto</v>
      </c>
      <c r="D26" t="str">
        <v>Cumpleaños Fatima</v>
      </c>
      <c r="E26">
        <v>59.4</v>
      </c>
      <c r="F26" t="str">
        <v>BBVA Bfree</v>
      </c>
      <c r="G26" t="str">
        <v>Enero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Egreso</v>
      </c>
      <c r="B27">
        <v>46024</v>
      </c>
      <c r="C27" t="str">
        <v>Gasto</v>
      </c>
      <c r="D27" t="str">
        <v>Broaster</v>
      </c>
      <c r="E27">
        <v>10</v>
      </c>
      <c r="F27" t="str">
        <v>Interbank</v>
      </c>
      <c r="G27" t="str">
        <v>Enero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Egreso</v>
      </c>
      <c r="B28">
        <v>46026</v>
      </c>
      <c r="C28" t="str">
        <v>Gasto</v>
      </c>
      <c r="D28" t="str">
        <v>Cumpleaños</v>
      </c>
      <c r="E28">
        <v>100.5</v>
      </c>
      <c r="F28" t="str">
        <v>Interbank</v>
      </c>
      <c r="G28" t="str">
        <v>Enero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Egreso</v>
      </c>
      <c r="B29">
        <v>46026</v>
      </c>
      <c r="C29" t="str">
        <v>Gasto</v>
      </c>
      <c r="D29" t="str">
        <v>Cumpleaños</v>
      </c>
      <c r="E29">
        <v>20</v>
      </c>
      <c r="F29" t="str">
        <v>BBVA Bfree</v>
      </c>
      <c r="G29" t="str">
        <v>Enero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Egreso</v>
      </c>
      <c r="B30">
        <v>46026</v>
      </c>
      <c r="C30" t="str">
        <v>Gasto</v>
      </c>
      <c r="D30" t="str">
        <v>Pollo a la Brasa</v>
      </c>
      <c r="E30">
        <v>110.8</v>
      </c>
      <c r="F30" t="str">
        <v>BBVA Bfree</v>
      </c>
      <c r="G30" t="str">
        <v>Enero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Ingreso</v>
      </c>
      <c r="B31">
        <v>46027</v>
      </c>
      <c r="C31" t="str">
        <v>Otro Ing</v>
      </c>
      <c r="D31" t="str">
        <v>Madre</v>
      </c>
      <c r="E31">
        <v>60.1</v>
      </c>
      <c r="F31" t="str">
        <v>Interbank</v>
      </c>
      <c r="G31" t="str">
        <v>Enero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Egreso</v>
      </c>
      <c r="B32">
        <v>46028</v>
      </c>
      <c r="C32" t="str">
        <v>Gasto</v>
      </c>
      <c r="D32" t="str">
        <v>Cumpleaños Fatima</v>
      </c>
      <c r="E32">
        <v>5</v>
      </c>
      <c r="F32" t="str">
        <v>Interbank</v>
      </c>
      <c r="G32" t="str">
        <v>Enero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Egreso</v>
      </c>
      <c r="B33">
        <v>46028</v>
      </c>
      <c r="C33" t="str">
        <v>Gasto</v>
      </c>
      <c r="D33" t="str">
        <v>Taxi</v>
      </c>
      <c r="E33">
        <v>18.6</v>
      </c>
      <c r="F33" t="str">
        <v>BBVA Bfree</v>
      </c>
      <c r="G33" t="str">
        <v>Enero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Egreso</v>
      </c>
      <c r="B34">
        <v>46028</v>
      </c>
      <c r="C34" t="str">
        <v>Gasto</v>
      </c>
      <c r="D34" t="str">
        <v>Gaseosa</v>
      </c>
      <c r="E34">
        <v>6.39</v>
      </c>
      <c r="F34" t="str">
        <v>BBVA Bfree</v>
      </c>
      <c r="G34" t="str">
        <v>Enero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Egreso</v>
      </c>
      <c r="B35">
        <v>46028</v>
      </c>
      <c r="C35" t="str">
        <v>Gasto</v>
      </c>
      <c r="D35" t="str">
        <v>Broaster</v>
      </c>
      <c r="E35">
        <v>12.2</v>
      </c>
      <c r="F35" t="str">
        <v>Interbank</v>
      </c>
      <c r="G35" t="str">
        <v>Enero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Egreso</v>
      </c>
      <c r="B36">
        <v>46030</v>
      </c>
      <c r="C36" t="str">
        <v>Gasto</v>
      </c>
      <c r="D36" t="str">
        <v>Broaster</v>
      </c>
      <c r="E36">
        <v>20</v>
      </c>
      <c r="F36" t="str">
        <v>Interbank</v>
      </c>
      <c r="G36" t="str">
        <v>Enero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Egreso</v>
      </c>
      <c r="B37">
        <v>46032</v>
      </c>
      <c r="C37" t="str">
        <v>Servicio</v>
      </c>
      <c r="D37" t="str">
        <v>Desvagramen</v>
      </c>
      <c r="E37">
        <v>15.71</v>
      </c>
      <c r="F37" t="str">
        <v>BBVA Bfree</v>
      </c>
      <c r="G37" t="str">
        <v>Enero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Egreso</v>
      </c>
      <c r="B38">
        <v>46032</v>
      </c>
      <c r="C38" t="str">
        <v>Gasto</v>
      </c>
      <c r="D38" t="str">
        <v>Broaster</v>
      </c>
      <c r="E38">
        <v>10</v>
      </c>
      <c r="F38" t="str">
        <v>Interbank</v>
      </c>
      <c r="G38" t="str">
        <v>Enero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Egreso</v>
      </c>
      <c r="B39">
        <v>46033</v>
      </c>
      <c r="C39" t="str">
        <v>Gasto</v>
      </c>
      <c r="D39" t="str">
        <v>Shawarma</v>
      </c>
      <c r="E39">
        <v>10</v>
      </c>
      <c r="F39" t="str">
        <v>Interbank</v>
      </c>
      <c r="G39" t="str">
        <v>Enero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Egreso</v>
      </c>
      <c r="B40">
        <v>46033</v>
      </c>
      <c r="C40" t="str">
        <v>Gasto</v>
      </c>
      <c r="D40" t="str">
        <v>Alcohol</v>
      </c>
      <c r="E40">
        <v>10</v>
      </c>
      <c r="F40" t="str">
        <v>Interbank</v>
      </c>
      <c r="G40" t="str">
        <v>Enero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Egreso</v>
      </c>
      <c r="B41">
        <v>46033</v>
      </c>
      <c r="C41" t="str">
        <v>Gasto</v>
      </c>
      <c r="D41" t="str">
        <v>Broaster</v>
      </c>
      <c r="E41">
        <v>19.09</v>
      </c>
      <c r="F41" t="str">
        <v>Interbank</v>
      </c>
      <c r="G41" t="str">
        <v>Enero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Egreso</v>
      </c>
      <c r="B42">
        <v>46034</v>
      </c>
      <c r="C42" t="str">
        <v>Gasto</v>
      </c>
      <c r="D42" t="str">
        <v>Broaster</v>
      </c>
      <c r="E42">
        <v>10</v>
      </c>
      <c r="F42" t="str">
        <v>Interbank</v>
      </c>
      <c r="G42" t="str">
        <v>Enero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Egreso</v>
      </c>
      <c r="B43">
        <v>46035</v>
      </c>
      <c r="C43" t="str">
        <v>Gasto</v>
      </c>
      <c r="D43" t="str">
        <v>Camisa</v>
      </c>
      <c r="E43">
        <v>90.9</v>
      </c>
      <c r="F43" t="str">
        <v>Interbank</v>
      </c>
      <c r="G43" t="str">
        <v>Enero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Egreso</v>
      </c>
      <c r="B44">
        <v>46036</v>
      </c>
      <c r="C44" t="str">
        <v>Servicio</v>
      </c>
      <c r="D44" t="str">
        <v>iCloud</v>
      </c>
      <c r="E44">
        <v>4.02</v>
      </c>
      <c r="F44" t="str">
        <v>Interbank</v>
      </c>
      <c r="G44" t="str">
        <v>Enero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Egreso</v>
      </c>
      <c r="B45">
        <v>46036</v>
      </c>
      <c r="C45" t="str">
        <v>Gasto</v>
      </c>
      <c r="D45" t="str">
        <v>Broaster</v>
      </c>
      <c r="E45">
        <v>9</v>
      </c>
      <c r="F45" t="str">
        <v>Interbank</v>
      </c>
      <c r="G45" t="str">
        <v>Enero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Egreso</v>
      </c>
      <c r="B46">
        <v>46037</v>
      </c>
      <c r="C46" t="str">
        <v>Servicio</v>
      </c>
      <c r="D46" t="str">
        <v>Telefonia Movil</v>
      </c>
      <c r="E46">
        <v>39.9</v>
      </c>
      <c r="F46" t="str">
        <v>Interbank</v>
      </c>
      <c r="G46" t="str">
        <v>Enero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Egreso</v>
      </c>
      <c r="B47">
        <v>46037</v>
      </c>
      <c r="C47" t="str">
        <v>Deuda</v>
      </c>
      <c r="D47" t="str">
        <v>Yape Crédito</v>
      </c>
      <c r="E47">
        <v>60.36</v>
      </c>
      <c r="F47" t="str">
        <v>Interbank</v>
      </c>
      <c r="G47" t="str">
        <v>Enero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Egreso</v>
      </c>
      <c r="B48">
        <v>46037</v>
      </c>
      <c r="C48" t="str">
        <v>Gasto</v>
      </c>
      <c r="D48" t="str">
        <v>Shawarma</v>
      </c>
      <c r="E48">
        <v>10</v>
      </c>
      <c r="F48" t="str">
        <v>Interbank</v>
      </c>
      <c r="G48" t="str">
        <v>Enero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Egreso</v>
      </c>
      <c r="B49">
        <v>46039</v>
      </c>
      <c r="C49" t="str">
        <v>Gasto</v>
      </c>
      <c r="D49" t="str">
        <v>Gorra</v>
      </c>
      <c r="E49">
        <v>30</v>
      </c>
      <c r="F49" t="str">
        <v>Interbank</v>
      </c>
      <c r="G49" t="str">
        <v>Enero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Egreso</v>
      </c>
      <c r="B50">
        <v>46039</v>
      </c>
      <c r="C50" t="str">
        <v>Gasto</v>
      </c>
      <c r="D50" t="str">
        <v>Taxi</v>
      </c>
      <c r="E50">
        <v>20</v>
      </c>
      <c r="F50" t="str">
        <v>Interbank</v>
      </c>
      <c r="G50" t="str">
        <v>Enero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Egreso</v>
      </c>
      <c r="B51">
        <v>46039</v>
      </c>
      <c r="C51" t="str">
        <v>Gasto</v>
      </c>
      <c r="D51" t="str">
        <v>Cerveza</v>
      </c>
      <c r="E51">
        <v>16.5</v>
      </c>
      <c r="F51" t="str">
        <v>Interbank</v>
      </c>
      <c r="G51" t="str">
        <v>Enero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Egreso</v>
      </c>
      <c r="B52">
        <v>46039</v>
      </c>
      <c r="C52" t="str">
        <v>Gasto</v>
      </c>
      <c r="D52" t="str">
        <v>Broaster</v>
      </c>
      <c r="E52">
        <v>20</v>
      </c>
      <c r="F52" t="str">
        <v>Interbank</v>
      </c>
      <c r="G52" t="str">
        <v>Enero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Egreso</v>
      </c>
      <c r="B53">
        <v>46039</v>
      </c>
      <c r="C53" t="str">
        <v>Gasto</v>
      </c>
      <c r="D53" t="str">
        <v>Cerveza</v>
      </c>
      <c r="E53">
        <v>32.3</v>
      </c>
      <c r="F53" t="str">
        <v>BBVA Bfree</v>
      </c>
      <c r="G53" t="str">
        <v>Enero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Egreso</v>
      </c>
      <c r="B54">
        <v>46039</v>
      </c>
      <c r="C54" t="str">
        <v>Gasto</v>
      </c>
      <c r="D54" t="str">
        <v>Bus</v>
      </c>
      <c r="E54">
        <v>2.5</v>
      </c>
      <c r="F54" t="str">
        <v>Interbank</v>
      </c>
      <c r="G54" t="str">
        <v>Enero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Egreso</v>
      </c>
      <c r="B55">
        <v>46039</v>
      </c>
      <c r="C55" t="str">
        <v>Gasto</v>
      </c>
      <c r="D55" t="str">
        <v>In Game</v>
      </c>
      <c r="E55">
        <v>18</v>
      </c>
      <c r="F55" t="str">
        <v>Interbank</v>
      </c>
      <c r="G55" t="str">
        <v>Enero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Egreso</v>
      </c>
      <c r="B56">
        <v>46039</v>
      </c>
      <c r="C56" t="str">
        <v>Gasto</v>
      </c>
      <c r="D56" t="str">
        <v>Makis</v>
      </c>
      <c r="E56">
        <v>71</v>
      </c>
      <c r="F56" t="str">
        <v>Interbank</v>
      </c>
      <c r="G56" t="str">
        <v>Enero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Egreso</v>
      </c>
      <c r="B57">
        <v>46039</v>
      </c>
      <c r="C57" t="str">
        <v>Gasto</v>
      </c>
      <c r="D57" t="str">
        <v>Gaseosa</v>
      </c>
      <c r="E57">
        <v>7.09</v>
      </c>
      <c r="F57" t="str">
        <v>BBVA Bfree</v>
      </c>
      <c r="G57" t="str">
        <v>Enero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Egreso</v>
      </c>
      <c r="B58">
        <v>46039</v>
      </c>
      <c r="C58" t="str">
        <v>Gasto</v>
      </c>
      <c r="D58" t="str">
        <v>Gaseosa</v>
      </c>
      <c r="E58">
        <v>3</v>
      </c>
      <c r="F58" t="str">
        <v>BBVA Bfree</v>
      </c>
      <c r="G58" t="str">
        <v>Enero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Egreso</v>
      </c>
      <c r="B59">
        <v>46041</v>
      </c>
      <c r="C59" t="str">
        <v>Gasto</v>
      </c>
      <c r="D59" t="str">
        <v>Futbol</v>
      </c>
      <c r="E59">
        <v>12.36</v>
      </c>
      <c r="F59" t="str">
        <v>Interbank</v>
      </c>
      <c r="G59" t="str">
        <v>Enero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Egreso</v>
      </c>
      <c r="B60">
        <v>46043</v>
      </c>
      <c r="C60" t="str">
        <v>Gasto</v>
      </c>
      <c r="D60" t="str">
        <v>Tacos</v>
      </c>
      <c r="E60">
        <v>55</v>
      </c>
      <c r="F60" t="str">
        <v>Interbank</v>
      </c>
      <c r="G60" t="str">
        <v>Enero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Egreso</v>
      </c>
      <c r="B61">
        <v>46043</v>
      </c>
      <c r="C61" t="str">
        <v>Gasto</v>
      </c>
      <c r="D61" t="str">
        <v>Bus</v>
      </c>
      <c r="E61">
        <v>6.25</v>
      </c>
      <c r="F61" t="str">
        <v>Interbank</v>
      </c>
      <c r="G61" t="str">
        <v>Enero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Egreso</v>
      </c>
      <c r="B62">
        <v>46043</v>
      </c>
      <c r="C62" t="str">
        <v>Gasto</v>
      </c>
      <c r="D62" t="str">
        <v>FourLoko</v>
      </c>
      <c r="E62">
        <v>9.19</v>
      </c>
      <c r="F62" t="str">
        <v>BBVA Bfree</v>
      </c>
      <c r="G62" t="str">
        <v>Enero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Egreso</v>
      </c>
      <c r="B63">
        <v>46044</v>
      </c>
      <c r="C63" t="str">
        <v>Gasto</v>
      </c>
      <c r="D63" t="str">
        <v>Gaseosa</v>
      </c>
      <c r="E63">
        <v>2.29</v>
      </c>
      <c r="F63" t="str">
        <v>BBVA Bfree</v>
      </c>
      <c r="G63" t="str">
        <v>Enero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Egreso</v>
      </c>
      <c r="B64">
        <v>46044</v>
      </c>
      <c r="C64" t="str">
        <v>Gasto</v>
      </c>
      <c r="D64" t="str">
        <v>Bus</v>
      </c>
      <c r="E64">
        <v>5.5</v>
      </c>
      <c r="F64" t="str">
        <v>Interbank</v>
      </c>
      <c r="G64" t="str">
        <v>Enero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Egreso</v>
      </c>
      <c r="B65">
        <v>46044</v>
      </c>
      <c r="C65" t="str">
        <v>Gasto</v>
      </c>
      <c r="D65" t="str">
        <v>Bus</v>
      </c>
      <c r="E65">
        <v>5.5</v>
      </c>
      <c r="F65" t="str">
        <v>Interbank</v>
      </c>
      <c r="G65" t="str">
        <v>Enero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Egreso</v>
      </c>
      <c r="B66">
        <v>46044</v>
      </c>
      <c r="C66" t="str">
        <v>Gasto</v>
      </c>
      <c r="D66" t="str">
        <v>Futbol</v>
      </c>
      <c r="E66">
        <v>10</v>
      </c>
      <c r="F66" t="str">
        <v>Interbank</v>
      </c>
      <c r="G66" t="str">
        <v>Enero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Egreso</v>
      </c>
      <c r="B67">
        <v>46045</v>
      </c>
      <c r="C67" t="str">
        <v>Gasto</v>
      </c>
      <c r="D67" t="str">
        <v>Futbol</v>
      </c>
      <c r="E67">
        <v>9.4</v>
      </c>
      <c r="F67" t="str">
        <v>Interbank</v>
      </c>
      <c r="G67" t="str">
        <v>Enero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Egreso</v>
      </c>
      <c r="B68">
        <v>46045</v>
      </c>
      <c r="C68" t="str">
        <v>Gasto</v>
      </c>
      <c r="D68" t="str">
        <v>Broaster</v>
      </c>
      <c r="E68">
        <v>9</v>
      </c>
      <c r="F68" t="str">
        <v>Interbank</v>
      </c>
      <c r="G68" t="str">
        <v>Enero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Egreso</v>
      </c>
      <c r="B69">
        <v>46047</v>
      </c>
      <c r="C69" t="str">
        <v>Gasto</v>
      </c>
      <c r="D69" t="str">
        <v>Mercado</v>
      </c>
      <c r="E69">
        <v>12.5</v>
      </c>
      <c r="F69" t="str">
        <v>Interbank</v>
      </c>
      <c r="G69" t="str">
        <v>Enero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Ingreso</v>
      </c>
      <c r="B70">
        <v>46054</v>
      </c>
      <c r="C70" t="str">
        <v>Otro Ing</v>
      </c>
      <c r="D70" t="str">
        <v>Bonificación Ahorro</v>
      </c>
      <c r="E70">
        <v>46.9</v>
      </c>
      <c r="F70" t="str">
        <v>Interbank</v>
      </c>
      <c r="G70" t="str">
        <v>Febrero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Ingreso</v>
      </c>
      <c r="B71">
        <v>46054</v>
      </c>
      <c r="C71" t="str">
        <v>Sueldo</v>
      </c>
      <c r="D71" t="str">
        <v>Sueldo</v>
      </c>
      <c r="E71">
        <v>2073.06</v>
      </c>
      <c r="F71" t="str">
        <v>Interbank</v>
      </c>
      <c r="G71" t="str">
        <v>Febrero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Egreso</v>
      </c>
      <c r="B72">
        <v>46054</v>
      </c>
      <c r="C72" t="str">
        <v>Servicio</v>
      </c>
      <c r="D72" t="str">
        <v>Pago de Tarjeta BBVA Bfree</v>
      </c>
      <c r="E72">
        <v>481</v>
      </c>
      <c r="F72" t="str">
        <v>Interbank</v>
      </c>
      <c r="G72" t="str">
        <v>Febrero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Ingreso</v>
      </c>
      <c r="B73">
        <v>46054</v>
      </c>
      <c r="C73" t="str">
        <v>Tarjeta</v>
      </c>
      <c r="D73" t="str">
        <v>Linea Tarjeta</v>
      </c>
      <c r="E73">
        <v>500</v>
      </c>
      <c r="F73" t="str">
        <v>BBVA Bfree</v>
      </c>
      <c r="G73" t="str">
        <v>Febrero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Egreso</v>
      </c>
      <c r="B74">
        <v>46054</v>
      </c>
      <c r="C74" t="str">
        <v>Servicio</v>
      </c>
      <c r="D74" t="str">
        <v>Internet</v>
      </c>
      <c r="E74">
        <v>79</v>
      </c>
      <c r="F74" t="str">
        <v>BBVA Bfree</v>
      </c>
      <c r="G74" t="str">
        <v>Febrero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Egreso</v>
      </c>
      <c r="B75">
        <v>46054</v>
      </c>
      <c r="C75" t="str">
        <v>Servicio</v>
      </c>
      <c r="D75" t="str">
        <v>Luz</v>
      </c>
      <c r="E75">
        <v>134.5</v>
      </c>
      <c r="F75" t="str">
        <v>BBVA Bfree</v>
      </c>
      <c r="G75" t="str">
        <v>Febrero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Egreso</v>
      </c>
      <c r="B76">
        <v>46054</v>
      </c>
      <c r="C76" t="str">
        <v>Servicio</v>
      </c>
      <c r="D76" t="str">
        <v>Gas</v>
      </c>
      <c r="E76">
        <v>19.1</v>
      </c>
      <c r="F76" t="str">
        <v>BBVA Bfree</v>
      </c>
      <c r="G76" t="str">
        <v>Febrero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Egreso</v>
      </c>
      <c r="B77">
        <v>46054</v>
      </c>
      <c r="C77" t="str">
        <v>Servicio</v>
      </c>
      <c r="D77" t="str">
        <v>Corte de Cabello</v>
      </c>
      <c r="E77">
        <v>20</v>
      </c>
      <c r="F77" t="str">
        <v>Interbank</v>
      </c>
      <c r="G77" t="str">
        <v>Febrero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Egreso</v>
      </c>
      <c r="B78">
        <v>46054</v>
      </c>
      <c r="C78" t="str">
        <v>Servicio</v>
      </c>
      <c r="D78" t="str">
        <v>Agua + Mantenimiento</v>
      </c>
      <c r="E78">
        <v>107.3</v>
      </c>
      <c r="F78" t="str">
        <v>Interbank</v>
      </c>
      <c r="G78" t="str">
        <v>Febrero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Egreso</v>
      </c>
      <c r="B79">
        <v>46054</v>
      </c>
      <c r="C79" t="str">
        <v>Otro Egre</v>
      </c>
      <c r="D79" t="str">
        <v>Viaje Argentina</v>
      </c>
      <c r="E79">
        <v>600</v>
      </c>
      <c r="F79" t="str">
        <v>Interbank</v>
      </c>
      <c r="G79" t="str">
        <v>Febrero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Egreso</v>
      </c>
      <c r="B80">
        <v>46054</v>
      </c>
      <c r="C80" t="str">
        <v>Gasto</v>
      </c>
      <c r="D80" t="str">
        <v>Condones</v>
      </c>
      <c r="E80">
        <v>4.9</v>
      </c>
      <c r="F80" t="str">
        <v>Interbank</v>
      </c>
      <c r="G80" t="str">
        <v>Febrero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Egreso</v>
      </c>
      <c r="B81">
        <v>46054</v>
      </c>
      <c r="C81" t="str">
        <v>Gasto</v>
      </c>
      <c r="D81" t="str">
        <v>Broaster</v>
      </c>
      <c r="E81">
        <v>19.5</v>
      </c>
      <c r="F81" t="str">
        <v>Interbank</v>
      </c>
      <c r="G81" t="str">
        <v>Febrero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Egreso</v>
      </c>
      <c r="B82">
        <v>46054</v>
      </c>
      <c r="C82" t="str">
        <v>Gasto</v>
      </c>
      <c r="D82" t="str">
        <v>Mercado</v>
      </c>
      <c r="E82">
        <v>14</v>
      </c>
      <c r="F82" t="str">
        <v>Interbank</v>
      </c>
      <c r="G82" t="str">
        <v>Febrero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Egreso</v>
      </c>
      <c r="B83">
        <v>46054</v>
      </c>
      <c r="C83" t="str">
        <v>Gasto</v>
      </c>
      <c r="D83" t="str">
        <v>Detergente</v>
      </c>
      <c r="E83">
        <v>0.5</v>
      </c>
      <c r="F83" t="str">
        <v>Interbank</v>
      </c>
      <c r="G83" t="str">
        <v>Febrero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Egreso</v>
      </c>
      <c r="B84">
        <v>46054</v>
      </c>
      <c r="C84" t="str">
        <v>Gasto</v>
      </c>
      <c r="D84" t="str">
        <v>Papel Higiénico</v>
      </c>
      <c r="E84">
        <v>0.5</v>
      </c>
      <c r="F84" t="str">
        <v>Interbank</v>
      </c>
      <c r="G84" t="str">
        <v>Febrero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Egreso</v>
      </c>
      <c r="B85">
        <v>46054</v>
      </c>
      <c r="C85" t="str">
        <v>Gasto</v>
      </c>
      <c r="D85" t="str">
        <v>Pasta Dental</v>
      </c>
      <c r="E85">
        <v>0.5</v>
      </c>
      <c r="F85" t="str">
        <v>Interbank</v>
      </c>
      <c r="G85" t="str">
        <v>Febrero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Egreso</v>
      </c>
      <c r="B86">
        <v>46054</v>
      </c>
      <c r="C86" t="str">
        <v>Gasto</v>
      </c>
      <c r="D86" t="str">
        <v>Papa Rellena</v>
      </c>
      <c r="E86">
        <v>7</v>
      </c>
      <c r="F86" t="str">
        <v>Interbank</v>
      </c>
      <c r="G86" t="str">
        <v>Febrero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Egreso</v>
      </c>
      <c r="B87">
        <v>46054</v>
      </c>
      <c r="C87" t="str">
        <v>Otro Egre</v>
      </c>
      <c r="D87" t="str">
        <v>Pasaporte</v>
      </c>
      <c r="E87">
        <v>120.9</v>
      </c>
      <c r="F87" t="str">
        <v>Interbank</v>
      </c>
      <c r="G87" t="str">
        <v>Febrero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Egreso</v>
      </c>
      <c r="B88">
        <v>46054</v>
      </c>
      <c r="C88" t="str">
        <v>Gasto</v>
      </c>
      <c r="D88" t="str">
        <v>Broaster</v>
      </c>
      <c r="E88">
        <v>20</v>
      </c>
      <c r="F88" t="str">
        <v>Interbank</v>
      </c>
      <c r="G88" t="str">
        <v>Febrero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Egreso</v>
      </c>
      <c r="B89">
        <v>46054</v>
      </c>
      <c r="C89" t="str">
        <v>Gasto</v>
      </c>
      <c r="D89" t="str">
        <v>Menú</v>
      </c>
      <c r="E89">
        <v>11</v>
      </c>
      <c r="F89" t="str">
        <v>Interbank</v>
      </c>
      <c r="G89" t="str">
        <v>Febrero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Egreso</v>
      </c>
      <c r="B90">
        <v>46054</v>
      </c>
      <c r="C90" t="str">
        <v>Gasto</v>
      </c>
      <c r="D90" t="str">
        <v>Broaster</v>
      </c>
      <c r="E90">
        <v>10</v>
      </c>
      <c r="F90" t="str">
        <v>Interbank</v>
      </c>
      <c r="G90" t="str">
        <v>Febrero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Egreso</v>
      </c>
      <c r="B91">
        <v>46054</v>
      </c>
      <c r="C91" t="str">
        <v>Gasto</v>
      </c>
      <c r="D91" t="str">
        <v>Detergente</v>
      </c>
      <c r="E91">
        <v>1.1</v>
      </c>
      <c r="F91" t="str">
        <v>Interbank</v>
      </c>
      <c r="G91" t="str">
        <v>Febrero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>Egreso</v>
      </c>
      <c r="B92">
        <v>46054</v>
      </c>
      <c r="C92" t="str">
        <v>Gasto</v>
      </c>
      <c r="D92" t="str">
        <v>Papel Higiénico</v>
      </c>
      <c r="E92">
        <v>1.1</v>
      </c>
      <c r="F92" t="str">
        <v>Interbank</v>
      </c>
      <c r="G92" t="str">
        <v>Febrero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Egreso</v>
      </c>
      <c r="B93">
        <v>46054</v>
      </c>
      <c r="C93" t="str">
        <v>Gasto</v>
      </c>
      <c r="D93" t="str">
        <v>Pasta Dental</v>
      </c>
      <c r="E93">
        <v>1.1</v>
      </c>
      <c r="F93" t="str">
        <v>Interbank</v>
      </c>
      <c r="G93" t="str">
        <v>Febrero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Egreso</v>
      </c>
      <c r="B94">
        <v>46054</v>
      </c>
      <c r="C94" t="str">
        <v>Gasto</v>
      </c>
      <c r="D94" t="str">
        <v>Bus</v>
      </c>
      <c r="E94">
        <v>3</v>
      </c>
      <c r="F94" t="str">
        <v>Interbank</v>
      </c>
      <c r="G94" t="str">
        <v>Febrero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Egreso</v>
      </c>
      <c r="B95">
        <v>46054</v>
      </c>
      <c r="C95" t="str">
        <v>Gasto</v>
      </c>
      <c r="D95" t="str">
        <v>Empanada</v>
      </c>
      <c r="E95">
        <v>10.3</v>
      </c>
      <c r="F95" t="str">
        <v>BBVA Bfree</v>
      </c>
      <c r="G95" t="str">
        <v>Febrero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Egreso</v>
      </c>
      <c r="B96">
        <v>46054</v>
      </c>
      <c r="C96" t="str">
        <v>Otro Egre</v>
      </c>
      <c r="D96" t="str">
        <v>DNI Electronico</v>
      </c>
      <c r="E96">
        <v>30</v>
      </c>
      <c r="F96" t="str">
        <v>Interbank</v>
      </c>
      <c r="G96" t="str">
        <v>Febrero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Egreso</v>
      </c>
      <c r="B97">
        <v>46054</v>
      </c>
      <c r="C97" t="str">
        <v>Gasto</v>
      </c>
      <c r="D97" t="str">
        <v>Bus</v>
      </c>
      <c r="E97">
        <v>3</v>
      </c>
      <c r="F97" t="str">
        <v>Interbank</v>
      </c>
      <c r="G97" t="str">
        <v>Febrero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Egreso</v>
      </c>
      <c r="B98">
        <v>46054</v>
      </c>
      <c r="C98" t="str">
        <v>Gasto</v>
      </c>
      <c r="D98" t="str">
        <v>Agua Mineral</v>
      </c>
      <c r="E98">
        <v>2.69</v>
      </c>
      <c r="F98" t="str">
        <v>BBVA Bfree</v>
      </c>
      <c r="G98" t="str">
        <v>Febrero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Egreso</v>
      </c>
      <c r="B99">
        <v>46054</v>
      </c>
      <c r="C99" t="str">
        <v>Gasto</v>
      </c>
      <c r="D99" t="str">
        <v>Gaseosa</v>
      </c>
      <c r="E99">
        <v>9</v>
      </c>
      <c r="F99" t="str">
        <v>Interbank</v>
      </c>
      <c r="G99" t="str">
        <v>Febrero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Egreso</v>
      </c>
      <c r="B100">
        <v>46054</v>
      </c>
      <c r="C100" t="str">
        <v>Gasto</v>
      </c>
      <c r="D100" t="str">
        <v>Chicharron</v>
      </c>
      <c r="E100">
        <v>22</v>
      </c>
      <c r="F100" t="str">
        <v>Interbank</v>
      </c>
      <c r="G100" t="str">
        <v>Febrero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Egreso</v>
      </c>
      <c r="B101">
        <v>46054</v>
      </c>
      <c r="C101" t="str">
        <v>Gasto</v>
      </c>
      <c r="D101" t="str">
        <v>Chifa</v>
      </c>
      <c r="E101">
        <v>59.3</v>
      </c>
      <c r="F101" t="str">
        <v>BBVA Bfree</v>
      </c>
      <c r="G101" t="str">
        <v>Febrero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Egreso</v>
      </c>
      <c r="B102">
        <v>46054</v>
      </c>
      <c r="C102" t="str">
        <v>Gasto</v>
      </c>
      <c r="D102" t="str">
        <v>Propina</v>
      </c>
      <c r="E102">
        <v>5</v>
      </c>
      <c r="F102" t="str">
        <v>Interbank</v>
      </c>
      <c r="G102" t="str">
        <v>Febrero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Egreso</v>
      </c>
      <c r="B103">
        <v>46054</v>
      </c>
      <c r="C103" t="str">
        <v>Gasto</v>
      </c>
      <c r="D103" t="str">
        <v>Gaseosa</v>
      </c>
      <c r="E103">
        <v>3.5</v>
      </c>
      <c r="F103" t="str">
        <v>BBVA Bfree</v>
      </c>
      <c r="G103" t="str">
        <v>Febrero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Egreso</v>
      </c>
      <c r="B104">
        <v>46054</v>
      </c>
      <c r="C104" t="str">
        <v>Servicio</v>
      </c>
      <c r="D104" t="str">
        <v>Spotify</v>
      </c>
      <c r="E104">
        <v>11.9</v>
      </c>
      <c r="F104" t="str">
        <v>Interbank</v>
      </c>
      <c r="G104" t="str">
        <v>Febrero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Egreso</v>
      </c>
      <c r="B105">
        <v>46054</v>
      </c>
      <c r="C105" t="str">
        <v>Gasto</v>
      </c>
      <c r="D105" t="str">
        <v>Broaster</v>
      </c>
      <c r="E105">
        <v>51</v>
      </c>
      <c r="F105" t="str">
        <v>Interbank</v>
      </c>
      <c r="G105" t="str">
        <v>Febrero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Egreso</v>
      </c>
      <c r="B106">
        <v>46055</v>
      </c>
      <c r="C106" t="str">
        <v>Gasto</v>
      </c>
      <c r="D106" t="str">
        <v>Mercado</v>
      </c>
      <c r="E106">
        <v>9.5</v>
      </c>
      <c r="F106" t="str">
        <v>Interbank</v>
      </c>
      <c r="G106" t="str">
        <v>Febrero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Egreso</v>
      </c>
      <c r="B107">
        <v>46055</v>
      </c>
      <c r="C107" t="str">
        <v>Gasto</v>
      </c>
      <c r="D107" t="str">
        <v>Condones</v>
      </c>
      <c r="E107">
        <v>4.9</v>
      </c>
      <c r="F107" t="str">
        <v>BBVA Bfree</v>
      </c>
      <c r="G107" t="str">
        <v>Febrero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Egreso</v>
      </c>
      <c r="B108">
        <v>46055</v>
      </c>
      <c r="C108" t="str">
        <v>Gasto</v>
      </c>
      <c r="D108" t="str">
        <v>Broaster</v>
      </c>
      <c r="E108">
        <v>10</v>
      </c>
      <c r="F108" t="str">
        <v>Interbank</v>
      </c>
      <c r="G108" t="str">
        <v>Febrero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Egreso</v>
      </c>
      <c r="B109">
        <v>46057</v>
      </c>
      <c r="C109" t="str">
        <v>Gasto</v>
      </c>
      <c r="D109" t="str">
        <v>Shampoo</v>
      </c>
      <c r="E109">
        <v>17.9</v>
      </c>
      <c r="F109" t="str">
        <v>BBVA Bfree</v>
      </c>
      <c r="G109" t="str">
        <v>Febrero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Egreso</v>
      </c>
      <c r="B110">
        <v>46057</v>
      </c>
      <c r="C110" t="str">
        <v>Gasto</v>
      </c>
      <c r="D110" t="str">
        <v>Detergente</v>
      </c>
      <c r="E110">
        <v>2.63</v>
      </c>
      <c r="F110" t="str">
        <v>BBVA Bfree</v>
      </c>
      <c r="G110" t="str">
        <v>Febrero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Egreso</v>
      </c>
      <c r="B111">
        <v>46057</v>
      </c>
      <c r="C111" t="str">
        <v>Gasto</v>
      </c>
      <c r="D111" t="str">
        <v>Papel Higiénico</v>
      </c>
      <c r="E111">
        <v>2.63</v>
      </c>
      <c r="F111" t="str">
        <v>BBVA Bfree</v>
      </c>
      <c r="G111" t="str">
        <v>Febrero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Egreso</v>
      </c>
      <c r="B112">
        <v>46057</v>
      </c>
      <c r="C112" t="str">
        <v>Gasto</v>
      </c>
      <c r="D112" t="str">
        <v>Pasta Dental</v>
      </c>
      <c r="E112">
        <v>2.64</v>
      </c>
      <c r="F112" t="str">
        <v>BBVA Bfree</v>
      </c>
      <c r="G112" t="str">
        <v>Febrero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Egreso</v>
      </c>
      <c r="B113">
        <v>46057</v>
      </c>
      <c r="C113" t="str">
        <v>Gasto</v>
      </c>
      <c r="D113" t="str">
        <v>Menú</v>
      </c>
      <c r="E113">
        <v>13.65</v>
      </c>
      <c r="F113" t="str">
        <v>BBVA Bfree</v>
      </c>
      <c r="G113" t="str">
        <v>Febrero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Egreso</v>
      </c>
      <c r="B114">
        <v>46057</v>
      </c>
      <c r="C114" t="str">
        <v>Gasto</v>
      </c>
      <c r="D114" t="str">
        <v>Temu</v>
      </c>
      <c r="E114">
        <v>103.09</v>
      </c>
      <c r="F114" t="str">
        <v>BBVA Bfree</v>
      </c>
      <c r="G114" t="str">
        <v>Febrero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Egreso</v>
      </c>
      <c r="B115">
        <v>46058</v>
      </c>
      <c r="C115" t="str">
        <v>Gasto</v>
      </c>
      <c r="D115" t="str">
        <v>Mercado</v>
      </c>
      <c r="E115">
        <v>49.32</v>
      </c>
      <c r="F115" t="str">
        <v>Interbank</v>
      </c>
      <c r="G115" t="str">
        <v>Febrero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Egreso</v>
      </c>
      <c r="B116">
        <v>46059</v>
      </c>
      <c r="C116" t="str">
        <v>Gasto</v>
      </c>
      <c r="D116" t="str">
        <v>Futbol</v>
      </c>
      <c r="E116">
        <v>13.059999999999999</v>
      </c>
      <c r="F116" t="str">
        <v>Interbank</v>
      </c>
      <c r="G116" t="str">
        <v>Febrero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Egreso</v>
      </c>
      <c r="B117">
        <v>46059</v>
      </c>
      <c r="C117" t="str">
        <v>Servicio</v>
      </c>
      <c r="D117" t="str">
        <v>Desvagramen</v>
      </c>
      <c r="E117">
        <v>3.31</v>
      </c>
      <c r="F117" t="str">
        <v>BBVA Bfree</v>
      </c>
      <c r="G117" t="str">
        <v>Febrero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Ingreso</v>
      </c>
      <c r="B118">
        <v>46059</v>
      </c>
      <c r="C118" t="str">
        <v>Otro Ing</v>
      </c>
      <c r="D118" t="str">
        <v>AFP</v>
      </c>
      <c r="E118">
        <v>394</v>
      </c>
      <c r="F118" t="str">
        <v>Interbank</v>
      </c>
      <c r="G118" t="str">
        <v>Febrero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Ingreso</v>
      </c>
      <c r="B119">
        <v>46059</v>
      </c>
      <c r="C119" t="str">
        <v>Otro Ing</v>
      </c>
      <c r="D119" t="str">
        <v>Viaje Argentina</v>
      </c>
      <c r="E119">
        <v>600</v>
      </c>
      <c r="F119" t="str">
        <v>Interbank</v>
      </c>
      <c r="G119" t="str">
        <v>Febrero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Egreso</v>
      </c>
      <c r="B120">
        <v>46059</v>
      </c>
      <c r="C120" t="str">
        <v>Gasto</v>
      </c>
      <c r="D120" t="str">
        <v>Viaje Argentina</v>
      </c>
      <c r="E120">
        <v>600</v>
      </c>
      <c r="F120" t="str">
        <v>Interbank</v>
      </c>
      <c r="G120" t="str">
        <v>Febrero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Ingreso</v>
      </c>
      <c r="B121">
        <v>46059</v>
      </c>
      <c r="C121" t="str">
        <v>Otro Ing</v>
      </c>
      <c r="D121" t="str">
        <v>AFP</v>
      </c>
      <c r="E121">
        <v>242</v>
      </c>
      <c r="F121" t="str">
        <v>Interbank</v>
      </c>
      <c r="G121" t="str">
        <v>Febrero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Egreso</v>
      </c>
      <c r="B122">
        <v>46059</v>
      </c>
      <c r="C122" t="str">
        <v>Gasto</v>
      </c>
      <c r="D122" t="str">
        <v>Gaseosa</v>
      </c>
      <c r="E122">
        <v>7</v>
      </c>
      <c r="F122" t="str">
        <v>Interbank</v>
      </c>
      <c r="G122" t="str">
        <v>Febrero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Egreso</v>
      </c>
      <c r="B123">
        <v>46060</v>
      </c>
      <c r="C123" t="str">
        <v>Gasto</v>
      </c>
      <c r="D123" t="str">
        <v>Dulce de Leche</v>
      </c>
      <c r="E123">
        <v>3.5</v>
      </c>
      <c r="F123" t="str">
        <v>BBVA Bfree</v>
      </c>
      <c r="G123" t="str">
        <v>Febrero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Egreso</v>
      </c>
      <c r="B124">
        <v>46060</v>
      </c>
      <c r="C124" t="str">
        <v>Gasto</v>
      </c>
      <c r="D124" t="str">
        <v>Gaseosa</v>
      </c>
      <c r="E124">
        <v>3.29</v>
      </c>
      <c r="F124" t="str">
        <v>BBVA Bfree</v>
      </c>
      <c r="G124" t="str">
        <v>Febrero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Egreso</v>
      </c>
      <c r="B125">
        <v>46060</v>
      </c>
      <c r="C125" t="str">
        <v>Gasto</v>
      </c>
      <c r="D125" t="str">
        <v>Broaster</v>
      </c>
      <c r="E125">
        <v>30.57</v>
      </c>
      <c r="F125" t="str">
        <v>BBVA Bfree</v>
      </c>
      <c r="G125" t="str">
        <v>Febrero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Egreso</v>
      </c>
      <c r="B126">
        <v>46060</v>
      </c>
      <c r="C126" t="str">
        <v>Gasto</v>
      </c>
      <c r="D126" t="str">
        <v>Gaseosa</v>
      </c>
      <c r="E126">
        <v>3.5</v>
      </c>
      <c r="F126" t="str">
        <v>BBVA Bfree</v>
      </c>
      <c r="G126" t="str">
        <v>Febrero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Egreso</v>
      </c>
      <c r="B127">
        <v>46060</v>
      </c>
      <c r="C127" t="str">
        <v>Gasto</v>
      </c>
      <c r="D127" t="str">
        <v>Broaster</v>
      </c>
      <c r="E127">
        <v>15</v>
      </c>
      <c r="F127" t="str">
        <v>Interbank</v>
      </c>
      <c r="G127" t="str">
        <v>Febrero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Egreso</v>
      </c>
      <c r="B128">
        <v>46062</v>
      </c>
      <c r="C128" t="str">
        <v>Gasto</v>
      </c>
      <c r="D128" t="str">
        <v>Broaster</v>
      </c>
      <c r="E128">
        <v>59.54</v>
      </c>
      <c r="F128" t="str">
        <v>Interbank</v>
      </c>
      <c r="G128" t="str">
        <v>Febrero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Ingreso</v>
      </c>
      <c r="B129">
        <v>46063</v>
      </c>
      <c r="C129" t="str">
        <v>Tarjeta</v>
      </c>
      <c r="D129" t="str">
        <v>Linea Tarjeta</v>
      </c>
      <c r="E129">
        <v>1000</v>
      </c>
      <c r="F129" t="str">
        <v>Interbank Amex</v>
      </c>
      <c r="G129" t="str">
        <v>Febrero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Egreso</v>
      </c>
      <c r="B130">
        <v>46063</v>
      </c>
      <c r="C130" t="str">
        <v>Gasto</v>
      </c>
      <c r="D130" t="str">
        <v>Condones</v>
      </c>
      <c r="E130">
        <v>4.9</v>
      </c>
      <c r="F130" t="str">
        <v>Interbank Amex</v>
      </c>
      <c r="G130" t="str">
        <v>Febrero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Egreso</v>
      </c>
      <c r="B131">
        <v>46063</v>
      </c>
      <c r="C131" t="str">
        <v>Gasto</v>
      </c>
      <c r="D131" t="str">
        <v>Bus</v>
      </c>
      <c r="E131">
        <v>4</v>
      </c>
      <c r="F131" t="str">
        <v>Interbank</v>
      </c>
      <c r="G131" t="str">
        <v>Febrero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Egreso</v>
      </c>
      <c r="B132">
        <v>46063</v>
      </c>
      <c r="C132" t="str">
        <v>Gasto</v>
      </c>
      <c r="D132" t="str">
        <v>Broaster</v>
      </c>
      <c r="E132">
        <v>10</v>
      </c>
      <c r="F132" t="str">
        <v>Interbank</v>
      </c>
      <c r="G132" t="str">
        <v>Febrero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Egreso</v>
      </c>
      <c r="B133">
        <v>46064</v>
      </c>
      <c r="C133" t="str">
        <v>Gasto</v>
      </c>
      <c r="D133" t="str">
        <v>Taxi</v>
      </c>
      <c r="E133">
        <v>20</v>
      </c>
      <c r="F133" t="str">
        <v>Interbank</v>
      </c>
      <c r="G133" t="str">
        <v>Febrero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Egreso</v>
      </c>
      <c r="B134">
        <v>46064</v>
      </c>
      <c r="C134" t="str">
        <v>Gasto</v>
      </c>
      <c r="D134" t="str">
        <v>Dulce de Leche</v>
      </c>
      <c r="E134">
        <v>5.9</v>
      </c>
      <c r="F134" t="str">
        <v>Interbank Amex</v>
      </c>
      <c r="G134" t="str">
        <v>Febrero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Egreso</v>
      </c>
      <c r="B135">
        <v>46064</v>
      </c>
      <c r="C135" t="str">
        <v>Gasto</v>
      </c>
      <c r="D135" t="str">
        <v xml:space="preserve">Polo  </v>
      </c>
      <c r="E135">
        <v>42.46</v>
      </c>
      <c r="F135" t="str">
        <v>Interbank Amex</v>
      </c>
      <c r="G135" t="str">
        <v>Febrero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Egreso</v>
      </c>
      <c r="B136">
        <v>46064</v>
      </c>
      <c r="C136" t="str">
        <v>Gasto</v>
      </c>
      <c r="D136" t="str">
        <v>Gorra</v>
      </c>
      <c r="E136">
        <v>40</v>
      </c>
      <c r="F136" t="str">
        <v>Interbank Amex</v>
      </c>
      <c r="G136" t="str">
        <v>Febrero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Egreso</v>
      </c>
      <c r="B137">
        <v>46064</v>
      </c>
      <c r="C137" t="str">
        <v>Gasto</v>
      </c>
      <c r="D137" t="str">
        <v>Zapatillas</v>
      </c>
      <c r="E137">
        <v>50.89</v>
      </c>
      <c r="F137" t="str">
        <v>Interbank Amex</v>
      </c>
      <c r="G137" t="str">
        <v>Febrero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Egreso</v>
      </c>
      <c r="B138">
        <v>46064</v>
      </c>
      <c r="C138" t="str">
        <v>Gasto</v>
      </c>
      <c r="D138" t="str">
        <v>Makis</v>
      </c>
      <c r="E138">
        <v>90</v>
      </c>
      <c r="F138" t="str">
        <v>Interbank Amex</v>
      </c>
      <c r="G138" t="str">
        <v>Febrero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Egreso</v>
      </c>
      <c r="B139">
        <v>46065</v>
      </c>
      <c r="C139" t="str">
        <v>Gasto</v>
      </c>
      <c r="D139" t="str">
        <v>Camisa</v>
      </c>
      <c r="E139">
        <v>69.5</v>
      </c>
      <c r="F139" t="str">
        <v>Interbank Amex</v>
      </c>
      <c r="G139" t="str">
        <v>Febrero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Egreso</v>
      </c>
      <c r="B140">
        <v>46066</v>
      </c>
      <c r="C140" t="str">
        <v>Otro Egre</v>
      </c>
      <c r="D140" t="str">
        <v>Madre</v>
      </c>
      <c r="E140">
        <v>90</v>
      </c>
      <c r="F140" t="str">
        <v>Interbank</v>
      </c>
      <c r="G140" t="str">
        <v>Febrero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Egreso</v>
      </c>
      <c r="B141">
        <v>46066</v>
      </c>
      <c r="C141" t="str">
        <v>Gasto</v>
      </c>
      <c r="D141" t="str">
        <v>Ron</v>
      </c>
      <c r="E141">
        <v>24</v>
      </c>
      <c r="F141" t="str">
        <v>Interbank Amex</v>
      </c>
      <c r="G141" t="str">
        <v>Febrero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Egreso</v>
      </c>
      <c r="B142">
        <v>46067</v>
      </c>
      <c r="C142" t="str">
        <v>Gasto</v>
      </c>
      <c r="D142" t="str">
        <v>Yogurt</v>
      </c>
      <c r="E142">
        <v>15.6</v>
      </c>
      <c r="F142" t="str">
        <v>Interbank Amex</v>
      </c>
      <c r="G142" t="str">
        <v>Febrero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Ingreso</v>
      </c>
      <c r="B143">
        <v>46067</v>
      </c>
      <c r="C143" t="str">
        <v>Otro Ing</v>
      </c>
      <c r="D143" t="str">
        <v>Venta de iPhone</v>
      </c>
      <c r="E143">
        <v>400</v>
      </c>
      <c r="F143" t="str">
        <v>Interbank</v>
      </c>
      <c r="G143" t="str">
        <v>Febrero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Egreso</v>
      </c>
      <c r="B144">
        <v>46067</v>
      </c>
      <c r="C144" t="str">
        <v>Servicio</v>
      </c>
      <c r="D144" t="str">
        <v>iCloud</v>
      </c>
      <c r="E144">
        <v>4</v>
      </c>
      <c r="F144" t="str">
        <v>Interbank</v>
      </c>
      <c r="G144" t="str">
        <v>Febrero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Egreso</v>
      </c>
      <c r="B145">
        <v>46067</v>
      </c>
      <c r="C145" t="str">
        <v>Gasto</v>
      </c>
      <c r="D145" t="str">
        <v>Camisa</v>
      </c>
      <c r="E145">
        <v>60</v>
      </c>
      <c r="F145" t="str">
        <v>Interbank</v>
      </c>
      <c r="G145" t="str">
        <v>Febrero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Egreso</v>
      </c>
      <c r="B146">
        <v>46067</v>
      </c>
      <c r="C146" t="str">
        <v>Gasto</v>
      </c>
      <c r="D146" t="str">
        <v>Broaster</v>
      </c>
      <c r="E146">
        <v>21.5</v>
      </c>
      <c r="F146" t="str">
        <v>Interbank Amex</v>
      </c>
      <c r="G146" t="str">
        <v>Febrero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Egreso</v>
      </c>
      <c r="B147">
        <v>46067</v>
      </c>
      <c r="C147" t="str">
        <v>Gasto</v>
      </c>
      <c r="D147" t="str">
        <v>Shampoo</v>
      </c>
      <c r="E147">
        <v>6.5</v>
      </c>
      <c r="F147" t="str">
        <v>Interbank Amex</v>
      </c>
      <c r="G147" t="str">
        <v>Febrero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Egreso</v>
      </c>
      <c r="B148">
        <v>46068</v>
      </c>
      <c r="C148" t="str">
        <v>Servicio</v>
      </c>
      <c r="D148" t="str">
        <v>Telefonia Movil</v>
      </c>
      <c r="E148">
        <v>39.9</v>
      </c>
      <c r="F148" t="str">
        <v>Interbank</v>
      </c>
      <c r="G148" t="str">
        <v>Febrero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Egreso</v>
      </c>
      <c r="B149">
        <v>46068</v>
      </c>
      <c r="C149" t="str">
        <v>Deuda</v>
      </c>
      <c r="D149" t="str">
        <v>Yape Crédito</v>
      </c>
      <c r="E149">
        <v>60.36</v>
      </c>
      <c r="F149" t="str">
        <v>Interbank</v>
      </c>
      <c r="G149" t="str">
        <v>Febrero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Egreso</v>
      </c>
      <c r="B150">
        <v>46068</v>
      </c>
      <c r="C150" t="str">
        <v>Gasto</v>
      </c>
      <c r="D150" t="str">
        <v>Ron</v>
      </c>
      <c r="E150">
        <v>80</v>
      </c>
      <c r="F150" t="str">
        <v>Interbank</v>
      </c>
      <c r="G150" t="str">
        <v>Febrero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Egreso</v>
      </c>
      <c r="B151">
        <v>46068</v>
      </c>
      <c r="C151" t="str">
        <v>Gasto</v>
      </c>
      <c r="D151" t="str">
        <v>Gaseosa</v>
      </c>
      <c r="E151">
        <v>8.1</v>
      </c>
      <c r="F151" t="str">
        <v>Interbank Amex</v>
      </c>
      <c r="G151" t="str">
        <v>Febrero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Egreso</v>
      </c>
      <c r="B152">
        <v>46069</v>
      </c>
      <c r="C152" t="str">
        <v>Gasto</v>
      </c>
      <c r="D152" t="str">
        <v>Mercado</v>
      </c>
      <c r="E152">
        <v>50</v>
      </c>
      <c r="F152" t="str">
        <v>Interbank</v>
      </c>
      <c r="G152" t="str">
        <v>Febrero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Egreso</v>
      </c>
      <c r="B153">
        <v>46069</v>
      </c>
      <c r="C153" t="str">
        <v>Gasto</v>
      </c>
      <c r="D153" t="str">
        <v>Futbol</v>
      </c>
      <c r="E153">
        <v>12.5</v>
      </c>
      <c r="F153" t="str">
        <v>Interbank</v>
      </c>
      <c r="G153" t="str">
        <v>Febrero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Egreso</v>
      </c>
      <c r="B154">
        <v>46069</v>
      </c>
      <c r="C154" t="str">
        <v>Gasto</v>
      </c>
      <c r="D154" t="str">
        <v>Broaster</v>
      </c>
      <c r="E154">
        <v>15</v>
      </c>
      <c r="F154" t="str">
        <v>Interbank</v>
      </c>
      <c r="G154" t="str">
        <v>Febrero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Egreso</v>
      </c>
      <c r="B155">
        <v>46071</v>
      </c>
      <c r="C155" t="str">
        <v>Gasto</v>
      </c>
      <c r="D155" t="str">
        <v>Broaster</v>
      </c>
      <c r="E155">
        <v>10</v>
      </c>
      <c r="F155" t="str">
        <v>Interbank</v>
      </c>
      <c r="G155" t="str">
        <v>Febrero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Egreso</v>
      </c>
      <c r="B156">
        <v>46072</v>
      </c>
      <c r="C156" t="str">
        <v>Gasto</v>
      </c>
      <c r="D156" t="str">
        <v>Bus</v>
      </c>
      <c r="E156">
        <v>6</v>
      </c>
      <c r="F156" t="str">
        <v>Interbank</v>
      </c>
      <c r="G156" t="str">
        <v>Febrero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Egreso</v>
      </c>
      <c r="B157">
        <v>46072</v>
      </c>
      <c r="C157" t="str">
        <v>Gasto</v>
      </c>
      <c r="D157" t="str">
        <v>Broaster</v>
      </c>
      <c r="E157">
        <v>9.5</v>
      </c>
      <c r="F157" t="str">
        <v>Interbank</v>
      </c>
      <c r="G157" t="str">
        <v>Febrero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Egreso</v>
      </c>
      <c r="B158">
        <v>46073</v>
      </c>
      <c r="C158" t="str">
        <v>Gasto</v>
      </c>
      <c r="D158" t="str">
        <v>Concierto Paulo Londra</v>
      </c>
      <c r="E158">
        <v>480</v>
      </c>
      <c r="F158" t="str">
        <v>Interbank Amex</v>
      </c>
      <c r="G158" t="str">
        <v>Febrero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Ingreso</v>
      </c>
      <c r="B159">
        <v>46073</v>
      </c>
      <c r="C159" t="str">
        <v>Otro Ing</v>
      </c>
      <c r="D159" t="str">
        <v>Mili</v>
      </c>
      <c r="E159">
        <v>240</v>
      </c>
      <c r="F159" t="str">
        <v>Interbank</v>
      </c>
      <c r="G159" t="str">
        <v>Febrero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Egreso</v>
      </c>
      <c r="B160">
        <v>46073</v>
      </c>
      <c r="C160" t="str">
        <v>Gasto</v>
      </c>
      <c r="D160" t="str">
        <v>Gaseosa</v>
      </c>
      <c r="E160">
        <v>6.99</v>
      </c>
      <c r="F160" t="str">
        <v>Interbank Amex</v>
      </c>
      <c r="G160" t="str">
        <v>Febrero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Egreso</v>
      </c>
      <c r="B161">
        <v>46073</v>
      </c>
      <c r="C161" t="str">
        <v>Gasto</v>
      </c>
      <c r="D161" t="str">
        <v>Taxi</v>
      </c>
      <c r="E161">
        <v>20</v>
      </c>
      <c r="F161" t="str">
        <v>Interbank</v>
      </c>
      <c r="G161" t="str">
        <v>Febrero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Egreso</v>
      </c>
      <c r="B162">
        <v>46074</v>
      </c>
      <c r="C162" t="str">
        <v>Gasto</v>
      </c>
      <c r="D162" t="str">
        <v>Pollo a la Brasa</v>
      </c>
      <c r="E162">
        <v>28</v>
      </c>
      <c r="F162" t="str">
        <v>Interbank Amex</v>
      </c>
      <c r="G162" t="str">
        <v>Febrero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Ingreso</v>
      </c>
      <c r="B163">
        <v>46074</v>
      </c>
      <c r="C163" t="str">
        <v>Otro Ing</v>
      </c>
      <c r="D163" t="str">
        <v>Madre</v>
      </c>
      <c r="E163">
        <v>100</v>
      </c>
      <c r="F163" t="str">
        <v>Interbank</v>
      </c>
      <c r="G163" t="str">
        <v>Febrero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Egreso</v>
      </c>
      <c r="B164">
        <v>46074</v>
      </c>
      <c r="C164" t="str">
        <v>Gasto</v>
      </c>
      <c r="D164" t="str">
        <v>Broaster</v>
      </c>
      <c r="E164">
        <v>20</v>
      </c>
      <c r="F164" t="str">
        <v>Interbank</v>
      </c>
      <c r="G164" t="str">
        <v>Febrero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Egreso</v>
      </c>
      <c r="B165">
        <v>46074</v>
      </c>
      <c r="C165" t="str">
        <v>Gasto</v>
      </c>
      <c r="D165" t="str">
        <v>Alcohol</v>
      </c>
      <c r="E165">
        <v>7.5</v>
      </c>
      <c r="F165" t="str">
        <v>Interbank</v>
      </c>
      <c r="G165" t="str">
        <v>Febrero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Egreso</v>
      </c>
      <c r="B166">
        <v>46074</v>
      </c>
      <c r="C166" t="str">
        <v>Gasto</v>
      </c>
      <c r="D166" t="str">
        <v>Agua Mineral</v>
      </c>
      <c r="E166">
        <v>3.5</v>
      </c>
      <c r="F166" t="str">
        <v>Interbank</v>
      </c>
      <c r="G166" t="str">
        <v>Febrero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>Egreso</v>
      </c>
      <c r="B167">
        <v>46074</v>
      </c>
      <c r="C167" t="str">
        <v>Gasto</v>
      </c>
      <c r="D167" t="str">
        <v>Cigarro</v>
      </c>
      <c r="E167">
        <v>2</v>
      </c>
      <c r="F167" t="str">
        <v>Interbank</v>
      </c>
      <c r="G167" t="str">
        <v>Febrero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Egreso</v>
      </c>
      <c r="B168">
        <v>46074</v>
      </c>
      <c r="C168" t="str">
        <v>Gasto</v>
      </c>
      <c r="D168" t="str">
        <v>Chifa</v>
      </c>
      <c r="E168">
        <v>30</v>
      </c>
      <c r="F168" t="str">
        <v>Interbank Amex</v>
      </c>
      <c r="G168" t="str">
        <v>Febrero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>Egreso</v>
      </c>
      <c r="B169">
        <v>46074</v>
      </c>
      <c r="C169" t="str">
        <v>Gasto</v>
      </c>
      <c r="D169" t="str">
        <v>Cigarro</v>
      </c>
      <c r="E169">
        <v>9</v>
      </c>
      <c r="F169" t="str">
        <v>Interbank Amex</v>
      </c>
      <c r="G169" t="str">
        <v>Febrero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Egreso</v>
      </c>
      <c r="B170">
        <v>46074</v>
      </c>
      <c r="C170" t="str">
        <v>Gasto</v>
      </c>
      <c r="D170" t="str">
        <v>Cigarro</v>
      </c>
      <c r="E170">
        <v>13.91</v>
      </c>
      <c r="F170" t="str">
        <v>Interbank Amex</v>
      </c>
      <c r="G170" t="str">
        <v>Febrero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Egreso</v>
      </c>
      <c r="B171">
        <v>46075</v>
      </c>
      <c r="C171" t="str">
        <v>Gasto</v>
      </c>
      <c r="D171" t="str">
        <v>Ceviche</v>
      </c>
      <c r="E171">
        <v>10</v>
      </c>
      <c r="F171" t="str">
        <v>Interbank</v>
      </c>
      <c r="G171" t="str">
        <v>Febrero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Egreso</v>
      </c>
      <c r="B172">
        <v>46075</v>
      </c>
      <c r="C172" t="str">
        <v>Gasto</v>
      </c>
      <c r="D172" t="str">
        <v>Chicharron</v>
      </c>
      <c r="E172">
        <v>14.7</v>
      </c>
      <c r="F172" t="str">
        <v>Interbank</v>
      </c>
      <c r="G172" t="str">
        <v>Febrero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Egreso</v>
      </c>
      <c r="B173">
        <v>46075</v>
      </c>
      <c r="C173" t="str">
        <v>Gasto</v>
      </c>
      <c r="D173" t="str">
        <v>Shawarma</v>
      </c>
      <c r="E173">
        <v>22.5</v>
      </c>
      <c r="F173" t="str">
        <v>Interbank</v>
      </c>
      <c r="G173" t="str">
        <v>Febrero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Egreso</v>
      </c>
      <c r="B174">
        <v>46075</v>
      </c>
      <c r="C174" t="str">
        <v>Gasto</v>
      </c>
      <c r="D174" t="str">
        <v>Bus</v>
      </c>
      <c r="E174">
        <v>7</v>
      </c>
      <c r="F174" t="str">
        <v>Interbank</v>
      </c>
      <c r="G174" t="str">
        <v>Febrero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>Egreso</v>
      </c>
      <c r="B175">
        <v>46075</v>
      </c>
      <c r="C175" t="str">
        <v>Servicio</v>
      </c>
      <c r="D175" t="str">
        <v>Desvagramen</v>
      </c>
      <c r="E175">
        <v>0.94</v>
      </c>
      <c r="F175" t="str">
        <v>Interbank Amex</v>
      </c>
      <c r="G175" t="str">
        <v>Febrero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>Egreso</v>
      </c>
      <c r="B176">
        <v>46077</v>
      </c>
      <c r="C176" t="str">
        <v>Gasto</v>
      </c>
      <c r="D176" t="str">
        <v>Pollo a la Brasa</v>
      </c>
      <c r="E176">
        <v>30.8</v>
      </c>
      <c r="F176" t="str">
        <v>Interbank</v>
      </c>
      <c r="G176" t="str">
        <v>Febrero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>Egreso</v>
      </c>
      <c r="B177">
        <v>46077</v>
      </c>
      <c r="C177" t="str">
        <v>Servicio</v>
      </c>
      <c r="D177" t="str">
        <v>Pago de Tarjeta BBVA Bfree</v>
      </c>
      <c r="E177">
        <v>379.76</v>
      </c>
      <c r="F177" t="str">
        <v>Interbank</v>
      </c>
      <c r="G177" t="str">
        <v>Febrero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>Ingreso</v>
      </c>
      <c r="B178">
        <v>46077</v>
      </c>
      <c r="C178" t="str">
        <v>Tarjeta</v>
      </c>
      <c r="D178" t="str">
        <v>Linea Tarjeta</v>
      </c>
      <c r="E178">
        <v>379.74</v>
      </c>
      <c r="F178" t="str">
        <v>Interbank Amex</v>
      </c>
      <c r="G178" t="str">
        <v>Febrero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>Egreso</v>
      </c>
      <c r="B179">
        <v>46078</v>
      </c>
      <c r="C179" t="str">
        <v>Gasto</v>
      </c>
      <c r="D179" t="str">
        <v>Broaster</v>
      </c>
      <c r="E179">
        <v>15</v>
      </c>
      <c r="F179" t="str">
        <v>Interbank</v>
      </c>
      <c r="G179" t="str">
        <v>Febrero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Egreso</v>
      </c>
      <c r="B180">
        <v>46078</v>
      </c>
      <c r="C180" t="str">
        <v>Gasto</v>
      </c>
      <c r="D180" t="str">
        <v>Dulce de Leche</v>
      </c>
      <c r="E180">
        <v>3</v>
      </c>
      <c r="F180" t="str">
        <v>Interbank</v>
      </c>
      <c r="G180" t="str">
        <v>Febrero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Ingreso</v>
      </c>
      <c r="B181">
        <v>46082</v>
      </c>
      <c r="C181" t="str">
        <v>Otro Ing</v>
      </c>
      <c r="D181" t="str">
        <v>Bonificación Ahorro</v>
      </c>
      <c r="E181">
        <v>154.45999999999998</v>
      </c>
      <c r="F181" t="str">
        <v>Interbank</v>
      </c>
      <c r="G181" t="str">
        <v>Marzo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Ingreso</v>
      </c>
      <c r="B182">
        <v>46082</v>
      </c>
      <c r="C182" t="str">
        <v>Sueldo</v>
      </c>
      <c r="D182" t="str">
        <v>Sueldo</v>
      </c>
      <c r="E182">
        <v>2073.06</v>
      </c>
      <c r="F182" t="str">
        <v>Interbank</v>
      </c>
      <c r="G182" t="str">
        <v>Marzo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>Ingreso</v>
      </c>
      <c r="B183">
        <v>46082</v>
      </c>
      <c r="C183" t="str">
        <v>Tarjeta</v>
      </c>
      <c r="D183" t="str">
        <v>Linea Tarjeta</v>
      </c>
      <c r="E183">
        <v>431.15</v>
      </c>
      <c r="F183" t="str">
        <v>Interbank Amex</v>
      </c>
      <c r="G183" t="str">
        <v>Marzo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Egreso</v>
      </c>
      <c r="B184">
        <v>46082</v>
      </c>
      <c r="C184" t="str">
        <v>Servicio</v>
      </c>
      <c r="D184" t="str">
        <v>Internet</v>
      </c>
      <c r="E184">
        <v>79</v>
      </c>
      <c r="F184" t="str">
        <v>Interbank Amex</v>
      </c>
      <c r="G184" t="str">
        <v>Marzo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Egreso</v>
      </c>
      <c r="B185">
        <v>46082</v>
      </c>
      <c r="C185" t="str">
        <v>Servicio</v>
      </c>
      <c r="D185" t="str">
        <v>Luz</v>
      </c>
      <c r="E185">
        <v>111.5</v>
      </c>
      <c r="F185" t="str">
        <v>Interbank Amex</v>
      </c>
      <c r="G185" t="str">
        <v>Marzo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Egreso</v>
      </c>
      <c r="B186">
        <v>46082</v>
      </c>
      <c r="C186" t="str">
        <v>Servicio</v>
      </c>
      <c r="D186" t="str">
        <v>Gas</v>
      </c>
      <c r="E186">
        <v>35.8</v>
      </c>
      <c r="F186" t="str">
        <v>Interbank Amex</v>
      </c>
      <c r="G186" t="str">
        <v>Marzo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Ingreso</v>
      </c>
      <c r="B187">
        <v>46082</v>
      </c>
      <c r="C187" t="str">
        <v>Sueldo</v>
      </c>
      <c r="D187" t="str">
        <v>AFP</v>
      </c>
      <c r="E187">
        <v>1050</v>
      </c>
      <c r="F187" t="str">
        <v>Interbank</v>
      </c>
      <c r="G187" t="str">
        <v>Marzo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Egreso</v>
      </c>
      <c r="B188">
        <v>46082</v>
      </c>
      <c r="C188" t="str">
        <v>Gasto</v>
      </c>
      <c r="D188" t="str">
        <v>Viaje Argentina</v>
      </c>
      <c r="E188">
        <v>4052</v>
      </c>
      <c r="F188" t="str">
        <v>Interbank</v>
      </c>
      <c r="G188" t="str">
        <v>Marzo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>Egreso</v>
      </c>
      <c r="B189">
        <v>46082</v>
      </c>
      <c r="C189" t="str">
        <v>Gasto</v>
      </c>
      <c r="D189" t="str">
        <v>Concierto Rawayana</v>
      </c>
      <c r="E189">
        <v>180</v>
      </c>
      <c r="F189" t="str">
        <v>Interbank</v>
      </c>
      <c r="G189" t="str">
        <v>Marzo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Egreso</v>
      </c>
      <c r="B190">
        <v>46082</v>
      </c>
      <c r="C190" t="str">
        <v>Gasto</v>
      </c>
      <c r="D190" t="str">
        <v>Jacko</v>
      </c>
      <c r="E190">
        <v>70</v>
      </c>
      <c r="F190" t="str">
        <v>Interbank</v>
      </c>
      <c r="G190" t="str">
        <v>Marzo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>Egreso</v>
      </c>
      <c r="B191">
        <v>46082</v>
      </c>
      <c r="C191" t="str">
        <v>Servicio</v>
      </c>
      <c r="D191" t="str">
        <v>Corte de Cabello</v>
      </c>
      <c r="E191">
        <v>20</v>
      </c>
      <c r="F191" t="str">
        <v>Interbank</v>
      </c>
      <c r="G191" t="str">
        <v>Marzo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>Egreso</v>
      </c>
      <c r="B192">
        <v>46082</v>
      </c>
      <c r="C192" t="str">
        <v>Servicio</v>
      </c>
      <c r="D192" t="str">
        <v>Agua + Mantenimiento</v>
      </c>
      <c r="E192">
        <v>121.5</v>
      </c>
      <c r="F192" t="str">
        <v>Interbank</v>
      </c>
      <c r="G192" t="str">
        <v>Marzo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Egreso</v>
      </c>
      <c r="B193">
        <v>46082</v>
      </c>
      <c r="C193" t="str">
        <v>Gasto</v>
      </c>
      <c r="D193" t="str">
        <v>Shawarma</v>
      </c>
      <c r="E193">
        <v>13</v>
      </c>
      <c r="F193" t="str">
        <v>Interbank</v>
      </c>
      <c r="G193" t="str">
        <v>Marzo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Ingreso</v>
      </c>
      <c r="B194">
        <v>46082</v>
      </c>
      <c r="C194" t="str">
        <v>Otro Ing</v>
      </c>
      <c r="D194" t="str">
        <v>Aaron</v>
      </c>
      <c r="E194">
        <v>80</v>
      </c>
      <c r="F194" t="str">
        <v>Interbank</v>
      </c>
      <c r="G194" t="str">
        <v>Marzo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Egreso</v>
      </c>
      <c r="B195">
        <v>46082</v>
      </c>
      <c r="C195" t="str">
        <v>Otro Egre</v>
      </c>
      <c r="D195" t="str">
        <v>Maleta</v>
      </c>
      <c r="E195">
        <v>110</v>
      </c>
      <c r="F195" t="str">
        <v>Interbank</v>
      </c>
      <c r="G195" t="str">
        <v>Marzo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Egreso</v>
      </c>
      <c r="B196">
        <v>46082</v>
      </c>
      <c r="C196" t="str">
        <v>Gasto</v>
      </c>
      <c r="D196" t="str">
        <v>Cumpleaños Abuela</v>
      </c>
      <c r="E196">
        <v>74.7</v>
      </c>
      <c r="F196" t="str">
        <v>Interbank</v>
      </c>
      <c r="G196" t="str">
        <v>Marzo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Egreso</v>
      </c>
      <c r="B197">
        <v>46082</v>
      </c>
      <c r="C197" t="str">
        <v>Gasto</v>
      </c>
      <c r="D197" t="str">
        <v xml:space="preserve">Pantalon </v>
      </c>
      <c r="E197">
        <v>99</v>
      </c>
      <c r="F197" t="str">
        <v>Interbank</v>
      </c>
      <c r="G197" t="str">
        <v>Marzo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Egreso</v>
      </c>
      <c r="B198">
        <v>46082</v>
      </c>
      <c r="C198" t="str">
        <v>Gasto</v>
      </c>
      <c r="D198" t="str">
        <v>Taxi</v>
      </c>
      <c r="E198">
        <v>20</v>
      </c>
      <c r="F198" t="str">
        <v>Interbank</v>
      </c>
      <c r="G198" t="str">
        <v>Marzo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Egreso</v>
      </c>
      <c r="B199">
        <v>46082</v>
      </c>
      <c r="C199" t="str">
        <v>Gasto</v>
      </c>
      <c r="D199" t="str">
        <v>Polo</v>
      </c>
      <c r="E199">
        <v>55</v>
      </c>
      <c r="F199" t="str">
        <v>Interbank</v>
      </c>
      <c r="G199" t="str">
        <v>Marzo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Egreso</v>
      </c>
      <c r="B200">
        <v>46082</v>
      </c>
      <c r="C200" t="str">
        <v>Gasto</v>
      </c>
      <c r="D200" t="str">
        <v>Camisa</v>
      </c>
      <c r="E200">
        <v>40</v>
      </c>
      <c r="F200" t="str">
        <v>Interbank</v>
      </c>
      <c r="G200" t="str">
        <v>Marzo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Egreso</v>
      </c>
      <c r="B201">
        <v>46082</v>
      </c>
      <c r="C201" t="str">
        <v>Gasto</v>
      </c>
      <c r="D201" t="str">
        <v>Café</v>
      </c>
      <c r="E201">
        <v>71.03</v>
      </c>
      <c r="F201" t="str">
        <v>Interbank Amex</v>
      </c>
      <c r="G201" t="str">
        <v>Marzo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Egreso</v>
      </c>
      <c r="B202">
        <v>46082</v>
      </c>
      <c r="C202" t="str">
        <v>Gasto</v>
      </c>
      <c r="D202" t="str">
        <v>Agua Mineral</v>
      </c>
      <c r="E202">
        <v>1.91</v>
      </c>
      <c r="F202" t="str">
        <v>Interbank</v>
      </c>
      <c r="G202" t="str">
        <v>Marzo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Egreso</v>
      </c>
      <c r="B203">
        <v>46082</v>
      </c>
      <c r="C203" t="str">
        <v>Gasto</v>
      </c>
      <c r="D203" t="str">
        <v>Broaster</v>
      </c>
      <c r="E203">
        <v>22.8</v>
      </c>
      <c r="F203" t="str">
        <v>Interbank</v>
      </c>
      <c r="G203" t="str">
        <v>Marzo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Egreso</v>
      </c>
      <c r="B204">
        <v>46082</v>
      </c>
      <c r="C204" t="str">
        <v>Gasto</v>
      </c>
      <c r="D204" t="str">
        <v>Broaster</v>
      </c>
      <c r="E204">
        <v>10</v>
      </c>
      <c r="F204" t="str">
        <v>Interbank</v>
      </c>
      <c r="G204" t="str">
        <v>Marzo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Egreso</v>
      </c>
      <c r="B205">
        <v>46082</v>
      </c>
      <c r="C205" t="str">
        <v>Gasto</v>
      </c>
      <c r="D205" t="str">
        <v>Mercado</v>
      </c>
      <c r="E205">
        <v>5</v>
      </c>
      <c r="F205" t="str">
        <v>Interbank</v>
      </c>
      <c r="G205" t="str">
        <v>Marzo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Egreso</v>
      </c>
      <c r="B206">
        <v>46082</v>
      </c>
      <c r="C206" t="str">
        <v>Servicio</v>
      </c>
      <c r="D206" t="str">
        <v>Spotify</v>
      </c>
      <c r="E206">
        <v>11.9</v>
      </c>
      <c r="F206" t="str">
        <v>Interbank Amex</v>
      </c>
      <c r="G206" t="str">
        <v>Marzo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Egreso</v>
      </c>
      <c r="B207">
        <v>46083</v>
      </c>
      <c r="C207" t="str">
        <v>Servicio</v>
      </c>
      <c r="D207" t="str">
        <v>Streaming</v>
      </c>
      <c r="E207">
        <v>12</v>
      </c>
      <c r="F207" t="str">
        <v>Interbank</v>
      </c>
      <c r="G207" t="str">
        <v>Marzo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Egreso</v>
      </c>
      <c r="B208">
        <v>46084</v>
      </c>
      <c r="C208" t="str">
        <v>Gasto</v>
      </c>
      <c r="D208" t="str">
        <v>Detergente</v>
      </c>
      <c r="E208">
        <v>5.5</v>
      </c>
      <c r="F208" t="str">
        <v>Interbank Amex</v>
      </c>
      <c r="G208" t="str">
        <v>Marzo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>Egreso</v>
      </c>
      <c r="B209">
        <v>46084</v>
      </c>
      <c r="C209" t="str">
        <v>Gasto</v>
      </c>
      <c r="D209" t="str">
        <v>Papel Higiénico</v>
      </c>
      <c r="E209">
        <v>5.5</v>
      </c>
      <c r="F209" t="str">
        <v>Interbank Amex</v>
      </c>
      <c r="G209" t="str">
        <v>Marzo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Egreso</v>
      </c>
      <c r="B210">
        <v>46084</v>
      </c>
      <c r="C210" t="str">
        <v>Gasto</v>
      </c>
      <c r="D210" t="str">
        <v>Pasta Dental</v>
      </c>
      <c r="E210">
        <v>5.49</v>
      </c>
      <c r="F210" t="str">
        <v>Interbank Amex</v>
      </c>
      <c r="G210" t="str">
        <v>Marzo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>Egreso</v>
      </c>
      <c r="B211">
        <v>46084</v>
      </c>
      <c r="C211" t="str">
        <v>Gasto</v>
      </c>
      <c r="D211" t="str">
        <v>Shampoo</v>
      </c>
      <c r="E211">
        <v>8.48</v>
      </c>
      <c r="F211" t="str">
        <v>Interbank Amex</v>
      </c>
      <c r="G211" t="str">
        <v>Marzo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Egreso</v>
      </c>
      <c r="B212">
        <v>46084</v>
      </c>
      <c r="C212" t="str">
        <v>Gasto</v>
      </c>
      <c r="D212" t="str">
        <v>Pollo a la Brasa</v>
      </c>
      <c r="E212">
        <v>12.5</v>
      </c>
      <c r="F212" t="str">
        <v>Interbank</v>
      </c>
      <c r="G212" t="str">
        <v>Marzo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>Egreso</v>
      </c>
      <c r="B213">
        <v>46084</v>
      </c>
      <c r="C213" t="str">
        <v>Gasto</v>
      </c>
      <c r="D213" t="str">
        <v xml:space="preserve">Dollarcity </v>
      </c>
      <c r="E213">
        <v>17</v>
      </c>
      <c r="F213" t="str">
        <v>Interbank</v>
      </c>
      <c r="G213" t="str">
        <v>Marzo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Egreso</v>
      </c>
      <c r="B214">
        <v>46085</v>
      </c>
      <c r="C214" t="str">
        <v>Gasto</v>
      </c>
      <c r="D214" t="str">
        <v>Zapatillas</v>
      </c>
      <c r="E214">
        <v>20</v>
      </c>
      <c r="F214" t="str">
        <v>Interbank</v>
      </c>
      <c r="G214" t="str">
        <v>Marzo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Egreso</v>
      </c>
      <c r="B215">
        <v>46085</v>
      </c>
      <c r="C215" t="str">
        <v>Gasto</v>
      </c>
      <c r="D215" t="str">
        <v>Broaster</v>
      </c>
      <c r="E215">
        <v>9.09</v>
      </c>
      <c r="F215" t="str">
        <v>Interbank</v>
      </c>
      <c r="G215" t="str">
        <v>Marzo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>Egreso</v>
      </c>
      <c r="B216">
        <v>46085</v>
      </c>
      <c r="C216" t="str">
        <v>Gasto</v>
      </c>
      <c r="D216" t="str">
        <v>Gaseosa</v>
      </c>
      <c r="E216">
        <v>4.06</v>
      </c>
      <c r="F216" t="str">
        <v>Interbank Amex</v>
      </c>
      <c r="G216" t="str">
        <v>Marzo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Egreso</v>
      </c>
      <c r="B217">
        <v>46086</v>
      </c>
      <c r="C217" t="str">
        <v>Gasto</v>
      </c>
      <c r="D217" t="str">
        <v>Galleta</v>
      </c>
      <c r="E217">
        <v>3</v>
      </c>
      <c r="F217" t="str">
        <v>Interbank</v>
      </c>
      <c r="G217" t="str">
        <v>Marzo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Egreso</v>
      </c>
      <c r="B218">
        <v>46086</v>
      </c>
      <c r="C218" t="str">
        <v>Gasto</v>
      </c>
      <c r="D218" t="str">
        <v>Casaca</v>
      </c>
      <c r="E218">
        <v>10</v>
      </c>
      <c r="F218" t="str">
        <v>Interbank</v>
      </c>
      <c r="G218" t="str">
        <v>Marzo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Egreso</v>
      </c>
      <c r="B219">
        <v>46087</v>
      </c>
      <c r="C219" t="str">
        <v>Otro Egre</v>
      </c>
      <c r="D219" t="str">
        <v>Madre</v>
      </c>
      <c r="E219">
        <v>10</v>
      </c>
      <c r="F219" t="str">
        <v>Interbank</v>
      </c>
      <c r="G219" t="str">
        <v>Marzo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Egreso</v>
      </c>
      <c r="B220">
        <v>46088</v>
      </c>
      <c r="C220" t="str">
        <v>Gasto</v>
      </c>
      <c r="D220" t="str">
        <v>Broaster</v>
      </c>
      <c r="E220">
        <v>17</v>
      </c>
      <c r="F220" t="str">
        <v>Interbank</v>
      </c>
      <c r="G220" t="str">
        <v>Marzo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Egreso</v>
      </c>
      <c r="B221">
        <v>46088</v>
      </c>
      <c r="C221" t="str">
        <v>Gasto</v>
      </c>
      <c r="D221" t="str">
        <v>Gaseosa</v>
      </c>
      <c r="E221">
        <v>2</v>
      </c>
      <c r="F221" t="str">
        <v>Interbank</v>
      </c>
      <c r="G221" t="str">
        <v>Marzo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Egreso</v>
      </c>
      <c r="B222">
        <v>46088</v>
      </c>
      <c r="C222" t="str">
        <v>Gasto</v>
      </c>
      <c r="D222" t="str">
        <v>Polo</v>
      </c>
      <c r="E222">
        <v>50</v>
      </c>
      <c r="F222" t="str">
        <v>Interbank</v>
      </c>
      <c r="G222" t="str">
        <v>Marzo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Egreso</v>
      </c>
      <c r="B223">
        <v>46088</v>
      </c>
      <c r="C223" t="str">
        <v>Gasto</v>
      </c>
      <c r="D223" t="str">
        <v>Ron</v>
      </c>
      <c r="E223">
        <v>50</v>
      </c>
      <c r="F223" t="str">
        <v>Interbank</v>
      </c>
      <c r="G223" t="str">
        <v>Marzo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Egreso</v>
      </c>
      <c r="B224">
        <v>46088</v>
      </c>
      <c r="C224" t="str">
        <v>Gasto</v>
      </c>
      <c r="D224" t="str">
        <v>Gaseosa</v>
      </c>
      <c r="E224">
        <v>6</v>
      </c>
      <c r="F224" t="str">
        <v>Interbank Amex</v>
      </c>
      <c r="G224" t="str">
        <v>Marzo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Egreso</v>
      </c>
      <c r="B225">
        <v>46089</v>
      </c>
      <c r="C225" t="str">
        <v>Gasto</v>
      </c>
      <c r="D225" t="str">
        <v>Vino</v>
      </c>
      <c r="E225">
        <v>70</v>
      </c>
      <c r="F225" t="str">
        <v>Interbank</v>
      </c>
      <c r="G225" t="str">
        <v>Marzo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Egreso</v>
      </c>
      <c r="B226">
        <v>46090</v>
      </c>
      <c r="C226" t="str">
        <v>Gasto</v>
      </c>
      <c r="D226" t="str">
        <v>Shampoo</v>
      </c>
      <c r="E226">
        <v>20</v>
      </c>
      <c r="F226" t="str">
        <v>Interbank</v>
      </c>
      <c r="G226" t="str">
        <v>Marzo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Egreso</v>
      </c>
      <c r="B227">
        <v>46090</v>
      </c>
      <c r="C227" t="str">
        <v>Gasto</v>
      </c>
      <c r="D227" t="str">
        <v>Broaster</v>
      </c>
      <c r="E227">
        <v>12</v>
      </c>
      <c r="F227" t="str">
        <v>Interbank</v>
      </c>
      <c r="G227" t="str">
        <v>Marzo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Egreso</v>
      </c>
      <c r="B228">
        <v>46091</v>
      </c>
      <c r="C228" t="str">
        <v>Gasto</v>
      </c>
      <c r="D228" t="str">
        <v>Taxi</v>
      </c>
      <c r="E228">
        <v>40</v>
      </c>
      <c r="F228" t="str">
        <v>Interbank</v>
      </c>
      <c r="G228" t="str">
        <v>Marzo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Egreso</v>
      </c>
      <c r="B229">
        <v>46091</v>
      </c>
      <c r="C229" t="str">
        <v>Gasto</v>
      </c>
      <c r="D229" t="str">
        <v>Detergente</v>
      </c>
      <c r="E229">
        <v>2.21</v>
      </c>
      <c r="F229" t="str">
        <v>Interbank Amex</v>
      </c>
      <c r="G229" t="str">
        <v>Marzo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Egreso</v>
      </c>
      <c r="B230">
        <v>46091</v>
      </c>
      <c r="C230" t="str">
        <v>Gasto</v>
      </c>
      <c r="D230" t="str">
        <v>Papel Higiénico</v>
      </c>
      <c r="E230">
        <v>2.21</v>
      </c>
      <c r="F230" t="str">
        <v>Interbank Amex</v>
      </c>
      <c r="G230" t="str">
        <v>Marzo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Egreso</v>
      </c>
      <c r="B231">
        <v>46091</v>
      </c>
      <c r="C231" t="str">
        <v>Gasto</v>
      </c>
      <c r="D231" t="str">
        <v>Pasta Dental</v>
      </c>
      <c r="E231">
        <v>2.21</v>
      </c>
      <c r="F231" t="str">
        <v>Interbank Amex</v>
      </c>
      <c r="G231" t="str">
        <v>Marzo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Egreso</v>
      </c>
      <c r="B232">
        <v>46091</v>
      </c>
      <c r="C232" t="str">
        <v>Gasto</v>
      </c>
      <c r="D232" t="str">
        <v>Torta de Chocolate</v>
      </c>
      <c r="E232">
        <v>16.98</v>
      </c>
      <c r="F232" t="str">
        <v>Interbank</v>
      </c>
      <c r="G232" t="str">
        <v>Marzo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Egreso</v>
      </c>
      <c r="B233">
        <v>46095</v>
      </c>
      <c r="C233" t="str">
        <v>Servicio</v>
      </c>
      <c r="D233" t="str">
        <v>iCloud</v>
      </c>
      <c r="E233">
        <v>4.02</v>
      </c>
      <c r="F233" t="str">
        <v>Interbank</v>
      </c>
      <c r="G233" t="str">
        <v>Marzo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Egreso</v>
      </c>
      <c r="B234">
        <v>46096</v>
      </c>
      <c r="C234" t="str">
        <v>Deuda</v>
      </c>
      <c r="D234" t="str">
        <v>Yape Crédito</v>
      </c>
      <c r="E234">
        <v>60.36</v>
      </c>
      <c r="F234" t="str">
        <v>Interbank</v>
      </c>
      <c r="G234" t="str">
        <v>Marzo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Egreso</v>
      </c>
      <c r="B235">
        <v>46096</v>
      </c>
      <c r="C235" t="str">
        <v>Servicio</v>
      </c>
      <c r="D235" t="str">
        <v>Telefonia Movil</v>
      </c>
      <c r="E235">
        <v>39.9</v>
      </c>
      <c r="F235" t="str">
        <v>Interbank Amex</v>
      </c>
      <c r="G235" t="str">
        <v>Marzo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Ingreso</v>
      </c>
      <c r="B236">
        <v>46096</v>
      </c>
      <c r="C236" t="str">
        <v>Otro Ing</v>
      </c>
      <c r="D236" t="str">
        <v>Venta de iPhone</v>
      </c>
      <c r="E236">
        <v>100</v>
      </c>
      <c r="F236" t="str">
        <v>Interbank</v>
      </c>
      <c r="G236" t="str">
        <v>Marzo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Ingreso</v>
      </c>
      <c r="B237">
        <v>46096</v>
      </c>
      <c r="C237" t="str">
        <v>Otro Ing</v>
      </c>
      <c r="D237" t="str">
        <v>Jacko</v>
      </c>
      <c r="E237">
        <v>80</v>
      </c>
      <c r="F237" t="str">
        <v>Interbank</v>
      </c>
      <c r="G237" t="str">
        <v>Marzo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Egreso</v>
      </c>
      <c r="B238">
        <v>46102</v>
      </c>
      <c r="C238" t="str">
        <v>Gasto</v>
      </c>
      <c r="D238" t="str">
        <v>Cumpleaños Madre</v>
      </c>
      <c r="E238">
        <v>115.69999999999999</v>
      </c>
      <c r="F238" t="str">
        <v>Interbank</v>
      </c>
      <c r="G238" t="str">
        <v>Marzo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Egreso</v>
      </c>
      <c r="B239">
        <v>46102</v>
      </c>
      <c r="C239" t="str">
        <v>Gasto</v>
      </c>
      <c r="D239" t="str">
        <v>Broaster</v>
      </c>
      <c r="E239">
        <v>22.94</v>
      </c>
      <c r="F239" t="str">
        <v>Interbank</v>
      </c>
      <c r="G239" t="str">
        <v>Marzo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Egreso</v>
      </c>
      <c r="B240">
        <v>46105</v>
      </c>
      <c r="C240" t="str">
        <v>Gasto</v>
      </c>
      <c r="D240" t="str">
        <v>Bus</v>
      </c>
      <c r="E240">
        <v>3.5</v>
      </c>
      <c r="F240" t="str">
        <v>Interbank</v>
      </c>
      <c r="G240" t="str">
        <v>Marzo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>Egreso</v>
      </c>
      <c r="B241">
        <v>46105</v>
      </c>
      <c r="C241" t="str">
        <v>Gasto</v>
      </c>
      <c r="D241" t="str">
        <v>Hamburguesa</v>
      </c>
      <c r="E241">
        <v>6.78</v>
      </c>
      <c r="F241" t="str">
        <v>Interbank Amex</v>
      </c>
      <c r="G241" t="str">
        <v>Marzo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>Egreso</v>
      </c>
      <c r="B242">
        <v>46107</v>
      </c>
      <c r="C242" t="str">
        <v>Gasto</v>
      </c>
      <c r="D242" t="str">
        <v>Bus</v>
      </c>
      <c r="E242">
        <v>6</v>
      </c>
      <c r="F242" t="str">
        <v>Interbank</v>
      </c>
      <c r="G242" t="str">
        <v>Marzo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>Ingreso</v>
      </c>
      <c r="B243">
        <v>46113</v>
      </c>
      <c r="C243" t="str">
        <v>Otro Ing</v>
      </c>
      <c r="D243" t="str">
        <v>Bonificación Ahorro</v>
      </c>
      <c r="E243">
        <v>42.04</v>
      </c>
      <c r="F243" t="str">
        <v>Interbank</v>
      </c>
      <c r="G243" t="str">
        <v>Abril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>Ingreso</v>
      </c>
      <c r="B244">
        <v>46113</v>
      </c>
      <c r="C244" t="str">
        <v>Sueldo</v>
      </c>
      <c r="D244" t="str">
        <v>Sueldo</v>
      </c>
      <c r="E244">
        <v>2259.63</v>
      </c>
      <c r="F244" t="str">
        <v>Interbank</v>
      </c>
      <c r="G244" t="str">
        <v>Abril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Egreso</v>
      </c>
      <c r="B245">
        <v>46113</v>
      </c>
      <c r="C245" t="str">
        <v>Servicio</v>
      </c>
      <c r="D245" t="str">
        <v>Pago de Tarjeta Interbank Amex</v>
      </c>
      <c r="E245">
        <v>1010</v>
      </c>
      <c r="F245" t="str">
        <v>Interbank</v>
      </c>
      <c r="G245" t="str">
        <v>Abril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>Egreso</v>
      </c>
      <c r="B246">
        <v>46113</v>
      </c>
      <c r="C246" t="str">
        <v>Servicio</v>
      </c>
      <c r="D246" t="str">
        <v>Pago de Tarjeta Interbank Amex</v>
      </c>
      <c r="E246">
        <v>20</v>
      </c>
      <c r="F246" t="str">
        <v>Interbank</v>
      </c>
      <c r="G246" t="str">
        <v>Abril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>Egreso</v>
      </c>
      <c r="B247">
        <v>46113</v>
      </c>
      <c r="C247" t="str">
        <v>Deuda</v>
      </c>
      <c r="D247" t="str">
        <v>iPhone 16</v>
      </c>
      <c r="E247">
        <v>245.75</v>
      </c>
      <c r="F247" t="str">
        <v>Interbank</v>
      </c>
      <c r="G247" t="str">
        <v>Abril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>Ingreso</v>
      </c>
      <c r="B248">
        <v>46113</v>
      </c>
      <c r="C248" t="str">
        <v>Tarjeta</v>
      </c>
      <c r="D248" t="str">
        <v>Linea Tarjeta</v>
      </c>
      <c r="E248">
        <v>1000</v>
      </c>
      <c r="F248" t="str">
        <v>Interbank Amex</v>
      </c>
      <c r="G248" t="str">
        <v>Abril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Egreso</v>
      </c>
      <c r="B249">
        <v>46113</v>
      </c>
      <c r="C249" t="str">
        <v>Gasto</v>
      </c>
      <c r="D249" t="str">
        <v>Viaje Laraos</v>
      </c>
      <c r="E249">
        <v>80</v>
      </c>
      <c r="F249" t="str">
        <v>Interbank</v>
      </c>
      <c r="G249" t="str">
        <v>Abril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Egreso</v>
      </c>
      <c r="B250">
        <v>46113</v>
      </c>
      <c r="C250" t="str">
        <v>Gasto</v>
      </c>
      <c r="D250" t="str">
        <v>Viaje Piura</v>
      </c>
      <c r="E250">
        <v>195</v>
      </c>
      <c r="F250" t="str">
        <v>Interbank</v>
      </c>
      <c r="G250" t="str">
        <v>Abril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>Egreso</v>
      </c>
      <c r="B251">
        <v>46113</v>
      </c>
      <c r="C251" t="str">
        <v>Gasto</v>
      </c>
      <c r="D251" t="str">
        <v>Broaster</v>
      </c>
      <c r="E251">
        <v>18</v>
      </c>
      <c r="F251" t="str">
        <v>Interbank</v>
      </c>
      <c r="G251" t="str">
        <v>Abril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>Egreso</v>
      </c>
      <c r="B252">
        <v>46113</v>
      </c>
      <c r="C252" t="str">
        <v>Gasto</v>
      </c>
      <c r="D252" t="str">
        <v>Chifa</v>
      </c>
      <c r="E252">
        <v>36.63</v>
      </c>
      <c r="F252" t="str">
        <v>Interbank Amex</v>
      </c>
      <c r="G252" t="str">
        <v>Abril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>Egreso</v>
      </c>
      <c r="B253">
        <v>46113</v>
      </c>
      <c r="C253" t="str">
        <v>Gasto</v>
      </c>
      <c r="D253" t="str">
        <v>Comida</v>
      </c>
      <c r="E253">
        <v>12</v>
      </c>
      <c r="F253" t="str">
        <v>Interbank</v>
      </c>
      <c r="G253" t="str">
        <v>Abril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>Egreso</v>
      </c>
      <c r="B254">
        <v>46113</v>
      </c>
      <c r="C254" t="str">
        <v>Servicio</v>
      </c>
      <c r="D254" t="str">
        <v>Internet</v>
      </c>
      <c r="E254">
        <v>79</v>
      </c>
      <c r="F254" t="str">
        <v>Interbank Amex</v>
      </c>
      <c r="G254" t="str">
        <v>Abril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>Egreso</v>
      </c>
      <c r="B255">
        <v>46113</v>
      </c>
      <c r="C255" t="str">
        <v>Gasto</v>
      </c>
      <c r="D255" t="str">
        <v>Viaje Raura</v>
      </c>
      <c r="E255">
        <v>135</v>
      </c>
      <c r="F255" t="str">
        <v>Interbank</v>
      </c>
      <c r="G255" t="str">
        <v>Abril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>Egreso</v>
      </c>
      <c r="B256">
        <v>46113</v>
      </c>
      <c r="C256" t="str">
        <v>Gasto</v>
      </c>
      <c r="D256" t="str">
        <v>Broaster</v>
      </c>
      <c r="E256">
        <v>13.5</v>
      </c>
      <c r="F256" t="str">
        <v>Interbank</v>
      </c>
      <c r="G256" t="str">
        <v>Abril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>Egreso</v>
      </c>
      <c r="B257">
        <v>46113</v>
      </c>
      <c r="C257" t="str">
        <v>Gasto</v>
      </c>
      <c r="D257" t="str">
        <v>Psicologo</v>
      </c>
      <c r="E257">
        <v>60</v>
      </c>
      <c r="F257" t="str">
        <v>Interbank</v>
      </c>
      <c r="G257" t="str">
        <v>Abril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Egreso</v>
      </c>
      <c r="B258">
        <v>46113</v>
      </c>
      <c r="C258" t="str">
        <v>Servicio</v>
      </c>
      <c r="D258" t="str">
        <v>Luz</v>
      </c>
      <c r="E258">
        <v>101.5</v>
      </c>
      <c r="F258" t="str">
        <v>Interbank Amex</v>
      </c>
      <c r="G258" t="str">
        <v>Abril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Egreso</v>
      </c>
      <c r="B259">
        <v>46113</v>
      </c>
      <c r="C259" t="str">
        <v>Servicio</v>
      </c>
      <c r="D259" t="str">
        <v>Gas</v>
      </c>
      <c r="E259">
        <v>14.1</v>
      </c>
      <c r="F259" t="str">
        <v>Interbank Amex</v>
      </c>
      <c r="G259" t="str">
        <v>Abril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>Egreso</v>
      </c>
      <c r="B260">
        <v>46113</v>
      </c>
      <c r="C260" t="str">
        <v>Servicio</v>
      </c>
      <c r="D260" t="str">
        <v>Corte de Cabello</v>
      </c>
      <c r="E260">
        <v>20</v>
      </c>
      <c r="F260" t="str">
        <v>Interbank</v>
      </c>
      <c r="G260" t="str">
        <v>Abril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>Egreso</v>
      </c>
      <c r="B261">
        <v>46113</v>
      </c>
      <c r="C261" t="str">
        <v>Otro Egre</v>
      </c>
      <c r="D261" t="str">
        <v>Mayra</v>
      </c>
      <c r="E261">
        <v>20</v>
      </c>
      <c r="F261" t="str">
        <v>Interbank</v>
      </c>
      <c r="G261" t="str">
        <v>Abril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>Egreso</v>
      </c>
      <c r="B262">
        <v>46113</v>
      </c>
      <c r="C262" t="str">
        <v>Gasto</v>
      </c>
      <c r="D262" t="str">
        <v>Menú</v>
      </c>
      <c r="E262">
        <v>22</v>
      </c>
      <c r="F262" t="str">
        <v>Interbank</v>
      </c>
      <c r="G262" t="str">
        <v>Abril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>Egreso</v>
      </c>
      <c r="B263">
        <v>46113</v>
      </c>
      <c r="C263" t="str">
        <v>Servicio</v>
      </c>
      <c r="D263" t="str">
        <v>Spotify</v>
      </c>
      <c r="E263">
        <v>11.91</v>
      </c>
      <c r="F263" t="str">
        <v>Interbank Amex</v>
      </c>
      <c r="G263" t="str">
        <v>Abril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>Egreso</v>
      </c>
      <c r="B264">
        <v>46113</v>
      </c>
      <c r="C264" t="str">
        <v>Gasto</v>
      </c>
      <c r="D264" t="str">
        <v>Taxi</v>
      </c>
      <c r="E264">
        <v>29.5</v>
      </c>
      <c r="F264" t="str">
        <v>Interbank</v>
      </c>
      <c r="G264" t="str">
        <v>Abril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Egreso</v>
      </c>
      <c r="B265">
        <v>46113</v>
      </c>
      <c r="C265" t="str">
        <v>Servicio</v>
      </c>
      <c r="D265" t="str">
        <v>Agua + Mantenimiento</v>
      </c>
      <c r="E265">
        <v>117.3</v>
      </c>
      <c r="F265" t="str">
        <v>Interbank</v>
      </c>
      <c r="G265" t="str">
        <v>Abril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>Egreso</v>
      </c>
      <c r="B266">
        <v>46114</v>
      </c>
      <c r="C266" t="str">
        <v>Gasto</v>
      </c>
      <c r="D266" t="str">
        <v xml:space="preserve">Pantalon </v>
      </c>
      <c r="E266">
        <v>55.89</v>
      </c>
      <c r="F266" t="str">
        <v>Interbank Amex</v>
      </c>
      <c r="G266" t="str">
        <v>Abril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>Egreso</v>
      </c>
      <c r="B267">
        <v>46114</v>
      </c>
      <c r="C267" t="str">
        <v>Gasto</v>
      </c>
      <c r="D267" t="str">
        <v>Cumpleaños Adriano</v>
      </c>
      <c r="E267">
        <v>122.6</v>
      </c>
      <c r="F267" t="str">
        <v>Interbank Amex</v>
      </c>
      <c r="G267" t="str">
        <v>Abril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>Egreso</v>
      </c>
      <c r="B268">
        <v>46114</v>
      </c>
      <c r="C268" t="str">
        <v>Gasto</v>
      </c>
      <c r="D268" t="str">
        <v>Broaster</v>
      </c>
      <c r="E268">
        <v>22</v>
      </c>
      <c r="F268" t="str">
        <v>Interbank Amex</v>
      </c>
      <c r="G268" t="str">
        <v>Abril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Egreso</v>
      </c>
      <c r="B269">
        <v>46115</v>
      </c>
      <c r="C269" t="str">
        <v>Gasto</v>
      </c>
      <c r="D269" t="str">
        <v>Viaje Piura</v>
      </c>
      <c r="E269">
        <v>58.8</v>
      </c>
      <c r="F269" t="str">
        <v>Interbank</v>
      </c>
      <c r="G269" t="str">
        <v>Abril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Egreso</v>
      </c>
      <c r="B270">
        <v>46115</v>
      </c>
      <c r="C270" t="str">
        <v>Gasto</v>
      </c>
      <c r="D270" t="str">
        <v>Viaje Piura</v>
      </c>
      <c r="E270">
        <v>19.7</v>
      </c>
      <c r="F270" t="str">
        <v>Interbank Amex</v>
      </c>
      <c r="G270" t="str">
        <v>Abril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Egreso</v>
      </c>
      <c r="B271">
        <v>46116</v>
      </c>
      <c r="C271" t="str">
        <v>Gasto</v>
      </c>
      <c r="D271" t="str">
        <v>Viaje Piura</v>
      </c>
      <c r="E271">
        <v>88.75</v>
      </c>
      <c r="F271" t="str">
        <v>Interbank Amex</v>
      </c>
      <c r="G271" t="str">
        <v>Abril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Egreso</v>
      </c>
      <c r="B272">
        <v>46116</v>
      </c>
      <c r="C272" t="str">
        <v>Gasto</v>
      </c>
      <c r="D272" t="str">
        <v>Viaje Piura</v>
      </c>
      <c r="E272">
        <v>24</v>
      </c>
      <c r="F272" t="str">
        <v>Interbank</v>
      </c>
      <c r="G272" t="str">
        <v>Abril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Egreso</v>
      </c>
      <c r="B273">
        <v>46117</v>
      </c>
      <c r="C273" t="str">
        <v>Gasto</v>
      </c>
      <c r="D273" t="str">
        <v>Viaje Piura</v>
      </c>
      <c r="E273">
        <v>104.8</v>
      </c>
      <c r="F273" t="str">
        <v>Interbank</v>
      </c>
      <c r="G273" t="str">
        <v>Abril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Egreso</v>
      </c>
      <c r="B274">
        <v>46118</v>
      </c>
      <c r="C274" t="str">
        <v>Gasto</v>
      </c>
      <c r="D274" t="str">
        <v>Viaje Piura</v>
      </c>
      <c r="E274">
        <v>36</v>
      </c>
      <c r="F274" t="str">
        <v>Interbank</v>
      </c>
      <c r="G274" t="str">
        <v>Abril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Egreso</v>
      </c>
      <c r="B275">
        <v>46118</v>
      </c>
      <c r="C275" t="str">
        <v>Otro Egre</v>
      </c>
      <c r="D275" t="str">
        <v>Madre</v>
      </c>
      <c r="E275">
        <v>50</v>
      </c>
      <c r="F275" t="str">
        <v>Interbank</v>
      </c>
      <c r="G275" t="str">
        <v>Abril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Egreso</v>
      </c>
      <c r="B276">
        <v>46119</v>
      </c>
      <c r="C276" t="str">
        <v>Gasto</v>
      </c>
      <c r="D276" t="str">
        <v>Viaje Piura</v>
      </c>
      <c r="E276">
        <v>10.4</v>
      </c>
      <c r="F276" t="str">
        <v>Interbank</v>
      </c>
      <c r="G276" t="str">
        <v>Abril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Egreso</v>
      </c>
      <c r="B277">
        <v>46120</v>
      </c>
      <c r="C277" t="str">
        <v>Gasto</v>
      </c>
      <c r="D277" t="str">
        <v>Detergente</v>
      </c>
      <c r="E277">
        <v>18.57</v>
      </c>
      <c r="F277" t="str">
        <v>Interbank Amex</v>
      </c>
      <c r="G277" t="str">
        <v>Abril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Egreso</v>
      </c>
      <c r="B278">
        <v>46120</v>
      </c>
      <c r="C278" t="str">
        <v>Gasto</v>
      </c>
      <c r="D278" t="str">
        <v>Papel Higiénico</v>
      </c>
      <c r="E278">
        <v>18.57</v>
      </c>
      <c r="F278" t="str">
        <v>Interbank Amex</v>
      </c>
      <c r="G278" t="str">
        <v>Abril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Egreso</v>
      </c>
      <c r="B279">
        <v>46120</v>
      </c>
      <c r="C279" t="str">
        <v>Gasto</v>
      </c>
      <c r="D279" t="str">
        <v>Pasta Dental</v>
      </c>
      <c r="E279">
        <v>18.58</v>
      </c>
      <c r="F279" t="str">
        <v>Interbank Amex</v>
      </c>
      <c r="G279" t="str">
        <v>Abril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Egreso</v>
      </c>
      <c r="B280">
        <v>46121</v>
      </c>
      <c r="C280" t="str">
        <v>Gasto</v>
      </c>
      <c r="D280" t="str">
        <v>Gaseosa</v>
      </c>
      <c r="E280">
        <v>7.5</v>
      </c>
      <c r="F280" t="str">
        <v>Interbank</v>
      </c>
      <c r="G280" t="str">
        <v>Abril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Egreso</v>
      </c>
      <c r="B281">
        <v>46121</v>
      </c>
      <c r="C281" t="str">
        <v>Gasto</v>
      </c>
      <c r="D281" t="str">
        <v>Hotel</v>
      </c>
      <c r="E281">
        <v>32</v>
      </c>
      <c r="F281" t="str">
        <v>Interbank Amex</v>
      </c>
      <c r="G281" t="str">
        <v>Abril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Egreso</v>
      </c>
      <c r="B282">
        <v>46121</v>
      </c>
      <c r="C282" t="str">
        <v>Gasto</v>
      </c>
      <c r="D282" t="str">
        <v>Cumpleaños Alondra</v>
      </c>
      <c r="E282">
        <v>69.22</v>
      </c>
      <c r="F282" t="str">
        <v>Interbank Amex</v>
      </c>
      <c r="G282" t="str">
        <v>Abril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Egreso</v>
      </c>
      <c r="B283">
        <v>46121</v>
      </c>
      <c r="C283" t="str">
        <v>Gasto</v>
      </c>
      <c r="D283" t="str">
        <v>Broaster</v>
      </c>
      <c r="E283">
        <v>28</v>
      </c>
      <c r="F283" t="str">
        <v>Interbank Amex</v>
      </c>
      <c r="G283" t="str">
        <v>Abril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Ingreso</v>
      </c>
      <c r="B284">
        <v>46121</v>
      </c>
      <c r="C284" t="str">
        <v>Otro Ing</v>
      </c>
      <c r="D284" t="str">
        <v>Milagros</v>
      </c>
      <c r="E284">
        <v>100</v>
      </c>
      <c r="F284" t="str">
        <v>Interbank</v>
      </c>
      <c r="G284" t="str">
        <v>Abril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Egreso</v>
      </c>
      <c r="B285">
        <v>46122</v>
      </c>
      <c r="C285" t="str">
        <v>Gasto</v>
      </c>
      <c r="D285" t="str">
        <v>Broaster</v>
      </c>
      <c r="E285">
        <v>18.9</v>
      </c>
      <c r="F285" t="str">
        <v>Interbank Amex</v>
      </c>
      <c r="G285" t="str">
        <v>Abril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Egreso</v>
      </c>
      <c r="B286">
        <v>46122</v>
      </c>
      <c r="C286" t="str">
        <v>Gasto</v>
      </c>
      <c r="D286" t="str">
        <v>Taxi</v>
      </c>
      <c r="E286">
        <v>22.22</v>
      </c>
      <c r="F286" t="str">
        <v>Interbank Amex</v>
      </c>
      <c r="G286" t="str">
        <v>Abril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Egreso</v>
      </c>
      <c r="B287">
        <v>46122</v>
      </c>
      <c r="C287" t="str">
        <v>Gasto</v>
      </c>
      <c r="D287" t="str">
        <v>Taxi</v>
      </c>
      <c r="E287">
        <v>10</v>
      </c>
      <c r="F287" t="str">
        <v>Interbank</v>
      </c>
      <c r="G287" t="str">
        <v>Abril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Egreso</v>
      </c>
      <c r="B288">
        <v>46123</v>
      </c>
      <c r="C288" t="str">
        <v>Gasto</v>
      </c>
      <c r="D288" t="str">
        <v>Hotel</v>
      </c>
      <c r="E288">
        <v>42</v>
      </c>
      <c r="F288" t="str">
        <v>Interbank Amex</v>
      </c>
      <c r="G288" t="str">
        <v>Abril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Egreso</v>
      </c>
      <c r="B289">
        <v>46126</v>
      </c>
      <c r="C289" t="str">
        <v>Servicio</v>
      </c>
      <c r="D289" t="str">
        <v>iCloud</v>
      </c>
      <c r="E289">
        <v>4.04</v>
      </c>
      <c r="F289" t="str">
        <v>Interbank</v>
      </c>
      <c r="G289" t="str">
        <v>Abril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Egreso</v>
      </c>
      <c r="B290">
        <v>46127</v>
      </c>
      <c r="C290" t="str">
        <v>Servicio</v>
      </c>
      <c r="D290" t="str">
        <v>Telefonia Movil</v>
      </c>
      <c r="E290">
        <v>39.9</v>
      </c>
      <c r="F290" t="str">
        <v>Interbank Amex</v>
      </c>
      <c r="G290" t="str">
        <v>Abril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Ingreso</v>
      </c>
      <c r="B291">
        <v>46127</v>
      </c>
      <c r="C291" t="str">
        <v>Otro Ing</v>
      </c>
      <c r="D291" t="str">
        <v>Yape Crédito</v>
      </c>
      <c r="E291">
        <v>200</v>
      </c>
      <c r="F291" t="str">
        <v>BCP</v>
      </c>
      <c r="G291" t="str">
        <v>Abril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Egreso</v>
      </c>
      <c r="B292">
        <v>46127</v>
      </c>
      <c r="C292" t="str">
        <v>Otro Egre</v>
      </c>
      <c r="D292" t="str">
        <v>Madre</v>
      </c>
      <c r="E292">
        <v>200</v>
      </c>
      <c r="F292" t="str">
        <v>BCP</v>
      </c>
      <c r="G292" t="str">
        <v>Abril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Egreso</v>
      </c>
      <c r="B293">
        <v>46128</v>
      </c>
      <c r="C293" t="str">
        <v>Otro Egre</v>
      </c>
      <c r="D293" t="str">
        <v>Madre</v>
      </c>
      <c r="E293">
        <v>5</v>
      </c>
      <c r="F293" t="str">
        <v>Interbank</v>
      </c>
      <c r="G293" t="str">
        <v>Abril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Ingreso</v>
      </c>
      <c r="B294">
        <v>46129</v>
      </c>
      <c r="C294" t="str">
        <v>Otro Ing</v>
      </c>
      <c r="D294" t="str">
        <v>Padre</v>
      </c>
      <c r="E294">
        <v>60</v>
      </c>
      <c r="F294" t="str">
        <v>BCP</v>
      </c>
      <c r="G294" t="str">
        <v>Abril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Egreso</v>
      </c>
      <c r="B295">
        <v>46129</v>
      </c>
      <c r="C295" t="str">
        <v>Gasto</v>
      </c>
      <c r="D295" t="str">
        <v>Futbol</v>
      </c>
      <c r="E295">
        <v>16.7</v>
      </c>
      <c r="F295" t="str">
        <v>BCP</v>
      </c>
      <c r="G295" t="str">
        <v>Abril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Egreso</v>
      </c>
      <c r="B296">
        <v>46129</v>
      </c>
      <c r="C296" t="str">
        <v>Gasto</v>
      </c>
      <c r="D296" t="str">
        <v>Jacko</v>
      </c>
      <c r="E296">
        <v>43.3</v>
      </c>
      <c r="F296" t="str">
        <v>BCP</v>
      </c>
      <c r="G296" t="str">
        <v>Abril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Egreso</v>
      </c>
      <c r="B297">
        <v>46130</v>
      </c>
      <c r="C297" t="str">
        <v>Gasto</v>
      </c>
      <c r="D297" t="str">
        <v>Cumpleaños Beu</v>
      </c>
      <c r="E297">
        <v>40.48</v>
      </c>
      <c r="F297" t="str">
        <v>Interbank</v>
      </c>
      <c r="G297" t="str">
        <v>Abril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Egreso</v>
      </c>
      <c r="B298">
        <v>46130</v>
      </c>
      <c r="C298" t="str">
        <v>Gasto</v>
      </c>
      <c r="D298" t="str">
        <v>Hotel</v>
      </c>
      <c r="E298">
        <v>40</v>
      </c>
      <c r="F298" t="str">
        <v>Interbank Amex</v>
      </c>
      <c r="G298" t="str">
        <v>Abril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Egreso</v>
      </c>
      <c r="B299">
        <v>46130</v>
      </c>
      <c r="C299" t="str">
        <v>Gasto</v>
      </c>
      <c r="D299" t="str">
        <v>Hamburguesa</v>
      </c>
      <c r="E299">
        <v>12</v>
      </c>
      <c r="F299" t="str">
        <v>Interbank Amex</v>
      </c>
      <c r="G299" t="str">
        <v>Abril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Egreso</v>
      </c>
      <c r="B300">
        <v>46131</v>
      </c>
      <c r="C300" t="str">
        <v>Gasto</v>
      </c>
      <c r="D300" t="str">
        <v>Gaseosa</v>
      </c>
      <c r="E300">
        <v>3.96</v>
      </c>
      <c r="F300" t="str">
        <v>Interbank Amex</v>
      </c>
      <c r="G300" t="str">
        <v>Abril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Egreso</v>
      </c>
      <c r="B301">
        <v>46132</v>
      </c>
      <c r="C301" t="str">
        <v>Gasto</v>
      </c>
      <c r="D301" t="str">
        <v>Broaster</v>
      </c>
      <c r="E301">
        <v>12</v>
      </c>
      <c r="F301" t="str">
        <v>Interbank</v>
      </c>
      <c r="G301" t="str">
        <v>Abril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Egreso</v>
      </c>
      <c r="B302">
        <v>46136</v>
      </c>
      <c r="C302" t="str">
        <v>Gasto</v>
      </c>
      <c r="D302" t="str">
        <v>Cine</v>
      </c>
      <c r="E302">
        <v>49.06</v>
      </c>
      <c r="F302" t="str">
        <v>Interbank Amex</v>
      </c>
      <c r="G302" t="str">
        <v>Abril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Egreso</v>
      </c>
      <c r="B303">
        <v>46137</v>
      </c>
      <c r="C303" t="str">
        <v>Servicio</v>
      </c>
      <c r="D303" t="str">
        <v>Desvagramen</v>
      </c>
      <c r="E303">
        <v>32.22</v>
      </c>
      <c r="F303" t="str">
        <v>Interbank Amex</v>
      </c>
      <c r="G303" t="str">
        <v>Abril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Egreso</v>
      </c>
      <c r="B304">
        <v>46137</v>
      </c>
      <c r="C304" t="str">
        <v>Gasto</v>
      </c>
      <c r="D304" t="str">
        <v>Taxi</v>
      </c>
      <c r="E304">
        <v>9.3</v>
      </c>
      <c r="F304" t="str">
        <v>Interbank</v>
      </c>
      <c r="G304" t="str">
        <v>Abril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Egreso</v>
      </c>
      <c r="B305">
        <v>46138</v>
      </c>
      <c r="C305" t="str">
        <v>Gasto</v>
      </c>
      <c r="D305" t="str">
        <v>Futbol</v>
      </c>
      <c r="E305">
        <v>21</v>
      </c>
      <c r="F305" t="str">
        <v>Interbank</v>
      </c>
      <c r="G305" t="str">
        <v>Abril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Ingreso</v>
      </c>
      <c r="B306">
        <v>46143</v>
      </c>
      <c r="C306" t="str">
        <v>Otro Ing</v>
      </c>
      <c r="D306" t="str">
        <v>Bonificación Ahorro</v>
      </c>
      <c r="E306">
        <v>32.1</v>
      </c>
      <c r="F306" t="str">
        <v>Interbank</v>
      </c>
      <c r="G306" t="str">
        <v>Mayo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Ingreso</v>
      </c>
      <c r="B307">
        <v>46143</v>
      </c>
      <c r="C307" t="str">
        <v>Sueldo</v>
      </c>
      <c r="D307" t="str">
        <v>Sueldo</v>
      </c>
      <c r="E307">
        <v>2259.63</v>
      </c>
      <c r="F307" t="str">
        <v>Interbank</v>
      </c>
      <c r="G307" t="str">
        <v>Mayo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>Egreso</v>
      </c>
      <c r="B308">
        <v>46143</v>
      </c>
      <c r="C308" t="str">
        <v>Servicio</v>
      </c>
      <c r="D308" t="str">
        <v>Pago de Tarjeta Interbank Amex</v>
      </c>
      <c r="E308">
        <v>785</v>
      </c>
      <c r="F308" t="str">
        <v>Interbank</v>
      </c>
      <c r="G308" t="str">
        <v>Mayo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Egreso</v>
      </c>
      <c r="B309">
        <v>46143</v>
      </c>
      <c r="C309" t="str">
        <v>Deuda</v>
      </c>
      <c r="D309" t="str">
        <v>Yape Crédito</v>
      </c>
      <c r="E309">
        <v>206.33</v>
      </c>
      <c r="F309" t="str">
        <v>Interbank</v>
      </c>
      <c r="G309" t="str">
        <v>Mayo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Egreso</v>
      </c>
      <c r="B310">
        <v>46143</v>
      </c>
      <c r="C310" t="str">
        <v>Deuda</v>
      </c>
      <c r="D310" t="str">
        <v>Aaron</v>
      </c>
      <c r="E310">
        <v>92.42</v>
      </c>
      <c r="F310" t="str">
        <v>Interbank</v>
      </c>
      <c r="G310" t="str">
        <v>Mayo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>Egreso</v>
      </c>
      <c r="B311">
        <v>46143</v>
      </c>
      <c r="C311" t="str">
        <v>Deuda</v>
      </c>
      <c r="D311" t="str">
        <v>iPhone 16</v>
      </c>
      <c r="E311">
        <v>245.75</v>
      </c>
      <c r="F311" t="str">
        <v>Interbank</v>
      </c>
      <c r="G311" t="str">
        <v>Mayo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Egreso</v>
      </c>
      <c r="B312">
        <v>46143</v>
      </c>
      <c r="C312" t="str">
        <v>Deuda</v>
      </c>
      <c r="D312" t="str">
        <v>Aaron</v>
      </c>
      <c r="E312">
        <v>170</v>
      </c>
      <c r="F312" t="str">
        <v>Interbank</v>
      </c>
      <c r="G312" t="str">
        <v>Mayo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>Ingreso</v>
      </c>
      <c r="B313">
        <v>46143</v>
      </c>
      <c r="C313" t="str">
        <v>Tarjeta</v>
      </c>
      <c r="D313" t="str">
        <v>Linea Tarjeta</v>
      </c>
      <c r="E313">
        <v>816.3</v>
      </c>
      <c r="F313" t="str">
        <v>Interbank Amex</v>
      </c>
      <c r="G313" t="str">
        <v>Mayo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>Egreso</v>
      </c>
      <c r="B314">
        <v>46143</v>
      </c>
      <c r="C314" t="str">
        <v>Deuda</v>
      </c>
      <c r="D314" t="str">
        <v>Jacko</v>
      </c>
      <c r="E314">
        <v>100</v>
      </c>
      <c r="F314" t="str">
        <v>Interbank</v>
      </c>
      <c r="G314" t="str">
        <v>Mayo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>Egreso</v>
      </c>
      <c r="B315">
        <v>46143</v>
      </c>
      <c r="C315" t="str">
        <v>Gasto</v>
      </c>
      <c r="D315" t="str">
        <v>Broaster</v>
      </c>
      <c r="E315">
        <v>11</v>
      </c>
      <c r="F315" t="str">
        <v>Interbank</v>
      </c>
      <c r="G315" t="str">
        <v>Mayo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>Egreso</v>
      </c>
      <c r="B316">
        <v>46143</v>
      </c>
      <c r="C316" t="str">
        <v>Gasto</v>
      </c>
      <c r="D316" t="str">
        <v>Dia del Trabajador</v>
      </c>
      <c r="E316">
        <v>80</v>
      </c>
      <c r="F316" t="str">
        <v>Interbank</v>
      </c>
      <c r="G316" t="str">
        <v>Mayo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>Egreso</v>
      </c>
      <c r="B317">
        <v>46143</v>
      </c>
      <c r="C317" t="str">
        <v>Gasto</v>
      </c>
      <c r="D317" t="str">
        <v>Detergente</v>
      </c>
      <c r="E317">
        <v>0.73</v>
      </c>
      <c r="F317" t="str">
        <v>Interbank</v>
      </c>
      <c r="G317" t="str">
        <v>Mayo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>Egreso</v>
      </c>
      <c r="B318">
        <v>46143</v>
      </c>
      <c r="C318" t="str">
        <v>Gasto</v>
      </c>
      <c r="D318" t="str">
        <v>Papel Higiénico</v>
      </c>
      <c r="E318">
        <v>0.73</v>
      </c>
      <c r="F318" t="str">
        <v>Interbank</v>
      </c>
      <c r="G318" t="str">
        <v>Mayo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Egreso</v>
      </c>
      <c r="B319">
        <v>46143</v>
      </c>
      <c r="C319" t="str">
        <v>Gasto</v>
      </c>
      <c r="D319" t="str">
        <v>Pasta Dental</v>
      </c>
      <c r="E319">
        <v>0.74</v>
      </c>
      <c r="F319" t="str">
        <v>Interbank</v>
      </c>
      <c r="G319" t="str">
        <v>Mayo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>Egreso</v>
      </c>
      <c r="B320">
        <v>46143</v>
      </c>
      <c r="C320" t="str">
        <v>Servicio</v>
      </c>
      <c r="D320" t="str">
        <v>Internet</v>
      </c>
      <c r="E320">
        <v>79</v>
      </c>
      <c r="F320" t="str">
        <v>Interbank Amex</v>
      </c>
      <c r="G320" t="str">
        <v>Mayo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>Egreso</v>
      </c>
      <c r="B321">
        <v>46143</v>
      </c>
      <c r="C321" t="str">
        <v>Servicio</v>
      </c>
      <c r="D321" t="str">
        <v>Luz</v>
      </c>
      <c r="E321">
        <v>84.5</v>
      </c>
      <c r="F321" t="str">
        <v>Interbank Amex</v>
      </c>
      <c r="G321" t="str">
        <v>Mayo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>Egreso</v>
      </c>
      <c r="B322">
        <v>46143</v>
      </c>
      <c r="C322" t="str">
        <v>Servicio</v>
      </c>
      <c r="D322" t="str">
        <v>Gas</v>
      </c>
      <c r="E322">
        <v>45</v>
      </c>
      <c r="F322" t="str">
        <v>Interbank Amex</v>
      </c>
      <c r="G322" t="str">
        <v>Mayo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Egreso</v>
      </c>
      <c r="B323">
        <v>46143</v>
      </c>
      <c r="C323" t="str">
        <v>Servicio</v>
      </c>
      <c r="D323" t="str">
        <v>Corte de Cabello</v>
      </c>
      <c r="E323">
        <v>20</v>
      </c>
      <c r="F323" t="str">
        <v>Interbank</v>
      </c>
      <c r="G323" t="str">
        <v>Mayo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>Egreso</v>
      </c>
      <c r="B324">
        <v>46143</v>
      </c>
      <c r="C324" t="str">
        <v>Deuda</v>
      </c>
      <c r="D324" t="str">
        <v>Padre</v>
      </c>
      <c r="E324">
        <v>60</v>
      </c>
      <c r="F324" t="str">
        <v>Interbank</v>
      </c>
      <c r="G324" t="str">
        <v>Mayo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>Egreso</v>
      </c>
      <c r="B325">
        <v>46143</v>
      </c>
      <c r="C325" t="str">
        <v>Gasto</v>
      </c>
      <c r="D325" t="str">
        <v>Taxi</v>
      </c>
      <c r="E325">
        <v>14</v>
      </c>
      <c r="F325" t="str">
        <v>Interbank</v>
      </c>
      <c r="G325" t="str">
        <v>Mayo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>Egreso</v>
      </c>
      <c r="B326">
        <v>46143</v>
      </c>
      <c r="C326" t="str">
        <v>Gasto</v>
      </c>
      <c r="D326" t="str">
        <v>Café</v>
      </c>
      <c r="E326">
        <v>50</v>
      </c>
      <c r="F326" t="str">
        <v>Interbank Amex</v>
      </c>
      <c r="G326" t="str">
        <v>Mayo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>Egreso</v>
      </c>
      <c r="B327">
        <v>46143</v>
      </c>
      <c r="C327" t="str">
        <v>Gasto</v>
      </c>
      <c r="D327" t="str">
        <v>Broaster</v>
      </c>
      <c r="E327">
        <v>21</v>
      </c>
      <c r="F327" t="str">
        <v>Interbank</v>
      </c>
      <c r="G327" t="str">
        <v>Mayo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>
      <c r="A328" t="str">
        <v>Egreso</v>
      </c>
      <c r="B328">
        <v>46143</v>
      </c>
      <c r="C328" t="str">
        <v>Gasto</v>
      </c>
      <c r="D328" t="str">
        <v>Dia del Trabajador</v>
      </c>
      <c r="E328">
        <v>107.3</v>
      </c>
      <c r="F328" t="str">
        <v>Interbank</v>
      </c>
      <c r="G328" t="str">
        <v>Mayo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Egreso</v>
      </c>
      <c r="B329">
        <v>46143</v>
      </c>
      <c r="C329" t="str">
        <v>Servicio</v>
      </c>
      <c r="D329" t="str">
        <v>Spotify</v>
      </c>
      <c r="E329">
        <v>11.9</v>
      </c>
      <c r="F329" t="str">
        <v>Interbank Amex</v>
      </c>
      <c r="G329" t="str">
        <v>Mayo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>Egreso</v>
      </c>
      <c r="B330">
        <v>46143</v>
      </c>
      <c r="C330" t="str">
        <v>Servicio</v>
      </c>
      <c r="D330" t="str">
        <v>Agua + Mantenimiento</v>
      </c>
      <c r="E330">
        <v>162</v>
      </c>
      <c r="F330" t="str">
        <v>Interbank</v>
      </c>
      <c r="G330" t="str">
        <v>Mayo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>Egreso</v>
      </c>
      <c r="B331">
        <v>46144</v>
      </c>
      <c r="C331" t="str">
        <v>Gasto</v>
      </c>
      <c r="D331" t="str">
        <v>Broaster</v>
      </c>
      <c r="E331">
        <v>14.5</v>
      </c>
      <c r="F331" t="str">
        <v>Interbank</v>
      </c>
      <c r="G331" t="str">
        <v>Mayo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</row>
    <row r="332">
      <c r="A332" t="str">
        <v>Egreso</v>
      </c>
      <c r="B332">
        <v>46144</v>
      </c>
      <c r="C332" t="str">
        <v>Gasto</v>
      </c>
      <c r="D332" t="str">
        <v>Gaseosa</v>
      </c>
      <c r="E332">
        <v>3</v>
      </c>
      <c r="F332" t="str">
        <v>Interbank</v>
      </c>
      <c r="G332" t="str">
        <v>Mayo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>Egreso</v>
      </c>
      <c r="B333">
        <v>46145</v>
      </c>
      <c r="C333" t="str">
        <v>Gasto</v>
      </c>
      <c r="D333" t="str">
        <v>Pollo a la Brasa</v>
      </c>
      <c r="E333">
        <v>14.61</v>
      </c>
      <c r="F333" t="str">
        <v>Interbank</v>
      </c>
      <c r="G333" t="str">
        <v>Mayo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>Egreso</v>
      </c>
      <c r="B334">
        <v>46146</v>
      </c>
      <c r="C334" t="str">
        <v>Servicio</v>
      </c>
      <c r="D334" t="str">
        <v>IA</v>
      </c>
      <c r="E334">
        <v>20</v>
      </c>
      <c r="F334" t="str">
        <v>Interbank</v>
      </c>
      <c r="G334" t="str">
        <v>Mayo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>Egreso</v>
      </c>
      <c r="B335">
        <v>46146</v>
      </c>
      <c r="C335" t="str">
        <v>Gasto</v>
      </c>
      <c r="D335" t="str">
        <v>Dia de la Madre</v>
      </c>
      <c r="E335">
        <v>92.36</v>
      </c>
      <c r="F335" t="str">
        <v>Interbank Amex</v>
      </c>
      <c r="G335" t="str">
        <v>Mayo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>Egreso</v>
      </c>
      <c r="B336">
        <v>46146</v>
      </c>
      <c r="C336" t="str">
        <v>Gasto</v>
      </c>
      <c r="D336" t="str">
        <v>Broaster</v>
      </c>
      <c r="E336">
        <v>15</v>
      </c>
      <c r="F336" t="str">
        <v>Interbank</v>
      </c>
      <c r="G336" t="str">
        <v>Mayo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>Egreso</v>
      </c>
      <c r="B337">
        <v>46147</v>
      </c>
      <c r="C337" t="str">
        <v>Gasto</v>
      </c>
      <c r="D337" t="str">
        <v>Gaseosa</v>
      </c>
      <c r="E337">
        <v>2</v>
      </c>
      <c r="F337" t="str">
        <v>Interbank Amex</v>
      </c>
      <c r="G337" t="str">
        <v>Mayo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>Egreso</v>
      </c>
      <c r="B338">
        <v>46147</v>
      </c>
      <c r="C338" t="str">
        <v>Gasto</v>
      </c>
      <c r="D338" t="str">
        <v>Broaster</v>
      </c>
      <c r="E338">
        <v>9</v>
      </c>
      <c r="F338" t="str">
        <v>Interbank</v>
      </c>
      <c r="G338" t="str">
        <v>Mayo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>Egreso</v>
      </c>
      <c r="B339">
        <v>46148</v>
      </c>
      <c r="C339" t="str">
        <v>Gasto</v>
      </c>
      <c r="D339" t="str">
        <v>Detergente</v>
      </c>
      <c r="E339">
        <v>21.13</v>
      </c>
      <c r="F339" t="str">
        <v>Interbank Amex</v>
      </c>
      <c r="G339" t="str">
        <v>Mayo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>Egreso</v>
      </c>
      <c r="B340">
        <v>46148</v>
      </c>
      <c r="C340" t="str">
        <v>Gasto</v>
      </c>
      <c r="D340" t="str">
        <v>Papel Higiénico</v>
      </c>
      <c r="E340">
        <v>21.13</v>
      </c>
      <c r="F340" t="str">
        <v>Interbank Amex</v>
      </c>
      <c r="G340" t="str">
        <v>Mayo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>Egreso</v>
      </c>
      <c r="B341">
        <v>46148</v>
      </c>
      <c r="C341" t="str">
        <v>Gasto</v>
      </c>
      <c r="D341" t="str">
        <v>Pasta Dental</v>
      </c>
      <c r="E341">
        <v>21.14</v>
      </c>
      <c r="F341" t="str">
        <v>Interbank Amex</v>
      </c>
      <c r="G341" t="str">
        <v>Mayo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>Egreso</v>
      </c>
      <c r="B342">
        <v>46148</v>
      </c>
      <c r="C342" t="str">
        <v>Gasto</v>
      </c>
      <c r="D342" t="str">
        <v>Taxi</v>
      </c>
      <c r="E342">
        <v>18</v>
      </c>
      <c r="F342" t="str">
        <v>Interbank</v>
      </c>
      <c r="G342" t="str">
        <v>Mayo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>Egreso</v>
      </c>
      <c r="B343">
        <v>46149</v>
      </c>
      <c r="C343" t="str">
        <v>Gasto</v>
      </c>
      <c r="D343" t="str">
        <v>Broaster</v>
      </c>
      <c r="E343">
        <v>11.8</v>
      </c>
      <c r="F343" t="str">
        <v>Interbank</v>
      </c>
      <c r="G343" t="str">
        <v>Mayo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>Egreso</v>
      </c>
      <c r="B344">
        <v>46149</v>
      </c>
      <c r="C344" t="str">
        <v>Gasto</v>
      </c>
      <c r="D344" t="str">
        <v>Condones</v>
      </c>
      <c r="E344">
        <v>4.9</v>
      </c>
      <c r="F344" t="str">
        <v>Interbank Amex</v>
      </c>
      <c r="G344" t="str">
        <v>Mayo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>Egreso</v>
      </c>
      <c r="B345">
        <v>46150</v>
      </c>
      <c r="C345" t="str">
        <v>Gasto</v>
      </c>
      <c r="D345" t="str">
        <v>Broaster</v>
      </c>
      <c r="E345">
        <v>13</v>
      </c>
      <c r="F345" t="str">
        <v>Interbank</v>
      </c>
      <c r="G345" t="str">
        <v>Mayo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>Egreso</v>
      </c>
      <c r="B346">
        <v>46151</v>
      </c>
      <c r="C346" t="str">
        <v>Gasto</v>
      </c>
      <c r="D346" t="str">
        <v>Taxi</v>
      </c>
      <c r="E346">
        <v>14.5</v>
      </c>
      <c r="F346" t="str">
        <v>Interbank</v>
      </c>
      <c r="G346" t="str">
        <v>Mayo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>Egreso</v>
      </c>
      <c r="B347">
        <v>46151</v>
      </c>
      <c r="C347" t="str">
        <v>Gasto</v>
      </c>
      <c r="D347" t="str">
        <v>Dia de la Madre</v>
      </c>
      <c r="E347">
        <v>35</v>
      </c>
      <c r="F347" t="str">
        <v>Interbank</v>
      </c>
      <c r="G347" t="str">
        <v>Mayo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>Egreso</v>
      </c>
      <c r="B348">
        <v>46152</v>
      </c>
      <c r="C348" t="str">
        <v>Gasto</v>
      </c>
      <c r="D348" t="str">
        <v>Dia de la Madre</v>
      </c>
      <c r="E348">
        <v>64.7</v>
      </c>
      <c r="F348" t="str">
        <v>Interbank Amex</v>
      </c>
      <c r="G348" t="str">
        <v>Mayo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Egreso</v>
      </c>
      <c r="B349">
        <v>46154</v>
      </c>
      <c r="C349" t="str">
        <v>Gasto</v>
      </c>
      <c r="D349" t="str">
        <v>Entrada Estadio</v>
      </c>
      <c r="E349">
        <v>50</v>
      </c>
      <c r="F349" t="str">
        <v>Interbank Amex</v>
      </c>
      <c r="G349" t="str">
        <v>Mayo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>Egreso</v>
      </c>
      <c r="B350">
        <v>46154</v>
      </c>
      <c r="C350" t="str">
        <v>Gasto</v>
      </c>
      <c r="D350" t="str">
        <v>Dulce de Leche</v>
      </c>
      <c r="E350">
        <v>4.99</v>
      </c>
      <c r="F350" t="str">
        <v>Interbank Amex</v>
      </c>
      <c r="G350" t="str">
        <v>Mayo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>Egreso</v>
      </c>
      <c r="B351">
        <v>46154</v>
      </c>
      <c r="C351" t="str">
        <v>Gasto</v>
      </c>
      <c r="D351" t="str">
        <v>Bus</v>
      </c>
      <c r="E351">
        <v>2.5</v>
      </c>
      <c r="F351" t="str">
        <v>Interbank</v>
      </c>
      <c r="G351" t="str">
        <v>Mayo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>Egreso</v>
      </c>
      <c r="B352">
        <v>46154</v>
      </c>
      <c r="C352" t="str">
        <v>Gasto</v>
      </c>
      <c r="D352" t="str">
        <v>Futbol</v>
      </c>
      <c r="E352">
        <v>12.5</v>
      </c>
      <c r="F352" t="str">
        <v>Interbank</v>
      </c>
      <c r="G352" t="str">
        <v>Mayo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Egreso</v>
      </c>
      <c r="B353">
        <v>46154</v>
      </c>
      <c r="C353" t="str">
        <v>Gasto</v>
      </c>
      <c r="D353" t="str">
        <v>Broaster</v>
      </c>
      <c r="E353">
        <v>10</v>
      </c>
      <c r="F353" t="str">
        <v>Interbank</v>
      </c>
      <c r="G353" t="str">
        <v>Mayo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Egreso</v>
      </c>
      <c r="B354">
        <v>46154</v>
      </c>
      <c r="C354" t="str">
        <v>Gasto</v>
      </c>
      <c r="D354" t="str">
        <v>Dulce de Leche</v>
      </c>
      <c r="E354">
        <v>10</v>
      </c>
      <c r="F354" t="str">
        <v>Interbank Amex</v>
      </c>
      <c r="G354" t="str">
        <v>Mayo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Ingreso</v>
      </c>
      <c r="B355">
        <v>46155</v>
      </c>
      <c r="C355" t="str">
        <v>Sueldo</v>
      </c>
      <c r="D355" t="str">
        <v>CTS</v>
      </c>
      <c r="E355">
        <v>1469.67</v>
      </c>
      <c r="F355" t="str">
        <v>Interbank</v>
      </c>
      <c r="G355" t="str">
        <v>Mayo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>Egreso</v>
      </c>
      <c r="B356">
        <v>46155</v>
      </c>
      <c r="C356" t="str">
        <v>Otro Egre</v>
      </c>
      <c r="D356" t="str">
        <v>Titulación</v>
      </c>
      <c r="E356">
        <v>700</v>
      </c>
      <c r="F356" t="str">
        <v>Interbank</v>
      </c>
      <c r="G356" t="str">
        <v>Mayo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>Egreso</v>
      </c>
      <c r="B357">
        <v>46156</v>
      </c>
      <c r="C357" t="str">
        <v>Gasto</v>
      </c>
      <c r="D357" t="str">
        <v xml:space="preserve">Polo  </v>
      </c>
      <c r="E357">
        <v>59.99</v>
      </c>
      <c r="F357" t="str">
        <v>Interbank Amex</v>
      </c>
      <c r="G357" t="str">
        <v>Mayo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>Egreso</v>
      </c>
      <c r="B358">
        <v>46156</v>
      </c>
      <c r="C358" t="str">
        <v>Gasto</v>
      </c>
      <c r="D358" t="str">
        <v>Broaster</v>
      </c>
      <c r="E358">
        <v>11.5</v>
      </c>
      <c r="F358" t="str">
        <v>Interbank</v>
      </c>
      <c r="G358" t="str">
        <v>Mayo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>Egreso</v>
      </c>
      <c r="B359">
        <v>46156</v>
      </c>
      <c r="C359" t="str">
        <v>Servicio</v>
      </c>
      <c r="D359" t="str">
        <v>iCloud</v>
      </c>
      <c r="E359">
        <v>15.35</v>
      </c>
      <c r="F359" t="str">
        <v>Interbank</v>
      </c>
      <c r="G359" t="str">
        <v>Mayo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 t="str">
        <v>Egreso</v>
      </c>
      <c r="B360">
        <v>46157</v>
      </c>
      <c r="C360" t="str">
        <v>Servicio</v>
      </c>
      <c r="D360" t="str">
        <v>Telefonia Movil</v>
      </c>
      <c r="E360">
        <v>39.9</v>
      </c>
      <c r="F360" t="str">
        <v>Interbank Amex</v>
      </c>
      <c r="G360" t="str">
        <v>Mayo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>Egreso</v>
      </c>
      <c r="B361">
        <v>46157</v>
      </c>
      <c r="C361" t="str">
        <v>Gasto</v>
      </c>
      <c r="D361" t="str">
        <v>Comida</v>
      </c>
      <c r="E361">
        <v>39.05</v>
      </c>
      <c r="F361" t="str">
        <v>Interbank</v>
      </c>
      <c r="G361" t="str">
        <v>Mayo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>Egreso</v>
      </c>
      <c r="B362">
        <v>46158</v>
      </c>
      <c r="C362" t="str">
        <v>Gasto</v>
      </c>
      <c r="D362" t="str">
        <v>Gaseosa</v>
      </c>
      <c r="E362">
        <v>2.19</v>
      </c>
      <c r="F362" t="str">
        <v>Interbank Amex</v>
      </c>
      <c r="G362" t="str">
        <v>Mayo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>Egreso</v>
      </c>
      <c r="B363">
        <v>46158</v>
      </c>
      <c r="C363" t="str">
        <v>Gasto</v>
      </c>
      <c r="D363" t="str">
        <v>Camisa</v>
      </c>
      <c r="E363">
        <v>62</v>
      </c>
      <c r="F363" t="str">
        <v>Interbank</v>
      </c>
      <c r="G363" t="str">
        <v>Mayo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Egreso</v>
      </c>
      <c r="B364">
        <v>46158</v>
      </c>
      <c r="C364" t="str">
        <v>Gasto</v>
      </c>
      <c r="D364" t="str">
        <v>Pantalon</v>
      </c>
      <c r="E364">
        <v>60.19</v>
      </c>
      <c r="F364" t="str">
        <v>Interbank</v>
      </c>
      <c r="G364" t="str">
        <v>Mayo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>Egreso</v>
      </c>
      <c r="B365">
        <v>46158</v>
      </c>
      <c r="C365" t="str">
        <v>Gasto</v>
      </c>
      <c r="D365" t="str">
        <v>Futbol</v>
      </c>
      <c r="E365">
        <v>8.5</v>
      </c>
      <c r="F365" t="str">
        <v>Interbank</v>
      </c>
      <c r="G365" t="str">
        <v>Mayo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>Egreso</v>
      </c>
      <c r="B366">
        <v>46158</v>
      </c>
      <c r="C366" t="str">
        <v>Gasto</v>
      </c>
      <c r="D366" t="str">
        <v>Futbol</v>
      </c>
      <c r="E366">
        <v>13</v>
      </c>
      <c r="F366" t="str">
        <v>Interbank</v>
      </c>
      <c r="G366" t="str">
        <v>Mayo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>Egreso</v>
      </c>
      <c r="B367">
        <v>46160</v>
      </c>
      <c r="C367" t="str">
        <v>Otro Egre</v>
      </c>
      <c r="D367" t="str">
        <v>Madre</v>
      </c>
      <c r="E367">
        <v>14</v>
      </c>
      <c r="F367" t="str">
        <v>Interbank</v>
      </c>
      <c r="G367" t="str">
        <v>Mayo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>Egreso</v>
      </c>
      <c r="B368">
        <v>46160</v>
      </c>
      <c r="C368" t="str">
        <v>Gasto</v>
      </c>
      <c r="D368" t="str">
        <v>Taxi</v>
      </c>
      <c r="E368">
        <v>10</v>
      </c>
      <c r="F368" t="str">
        <v>Interbank</v>
      </c>
      <c r="G368" t="str">
        <v>Mayo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>Egreso</v>
      </c>
      <c r="B369">
        <v>46160</v>
      </c>
      <c r="C369" t="str">
        <v>Gasto</v>
      </c>
      <c r="D369" t="str">
        <v>Broaster</v>
      </c>
      <c r="E369">
        <v>29</v>
      </c>
      <c r="F369" t="str">
        <v>Interbank Amex</v>
      </c>
      <c r="G369" t="str">
        <v>Mayo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>Egreso</v>
      </c>
      <c r="B370">
        <v>46160</v>
      </c>
      <c r="C370" t="str">
        <v>Gasto</v>
      </c>
      <c r="D370" t="str">
        <v>Bus</v>
      </c>
      <c r="E370">
        <v>7.5</v>
      </c>
      <c r="F370" t="str">
        <v>Interbank</v>
      </c>
      <c r="G370" t="str">
        <v>Mayo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>Egreso</v>
      </c>
      <c r="B371">
        <v>46161</v>
      </c>
      <c r="C371" t="str">
        <v>Servicio</v>
      </c>
      <c r="D371" t="str">
        <v>Corte de Cabello</v>
      </c>
      <c r="E371">
        <v>20</v>
      </c>
      <c r="F371" t="str">
        <v>Interbank</v>
      </c>
      <c r="G371" t="str">
        <v>Mayo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Egreso</v>
      </c>
      <c r="B372">
        <v>46163</v>
      </c>
      <c r="C372" t="str">
        <v>Gasto</v>
      </c>
      <c r="D372" t="str">
        <v>Futbol</v>
      </c>
      <c r="E372">
        <v>5.69</v>
      </c>
      <c r="F372" t="str">
        <v>Interbank</v>
      </c>
      <c r="G372" t="str">
        <v>Mayo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>Egreso</v>
      </c>
      <c r="B373">
        <v>46164</v>
      </c>
      <c r="C373" t="str">
        <v>Gasto</v>
      </c>
      <c r="D373" t="str">
        <v>Concierto  Soda Stereo</v>
      </c>
      <c r="E373">
        <v>83.08</v>
      </c>
      <c r="F373" t="str">
        <v>Interbank</v>
      </c>
      <c r="G373" t="str">
        <v>Mayo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Egreso</v>
      </c>
      <c r="B374">
        <v>46165</v>
      </c>
      <c r="C374" t="str">
        <v>Gasto</v>
      </c>
      <c r="D374" t="str">
        <v>Broaster</v>
      </c>
      <c r="E374">
        <v>28.1</v>
      </c>
      <c r="F374" t="str">
        <v>Interbank Amex</v>
      </c>
      <c r="G374" t="str">
        <v>Mayo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Egreso</v>
      </c>
      <c r="B375">
        <v>46168</v>
      </c>
      <c r="C375" t="str">
        <v>Gasto</v>
      </c>
      <c r="D375" t="str">
        <v>Café</v>
      </c>
      <c r="E375">
        <v>60</v>
      </c>
      <c r="F375" t="str">
        <v>Interbank Amex</v>
      </c>
      <c r="G375" t="str">
        <v>Mayo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>Egreso</v>
      </c>
      <c r="B376">
        <v>46168</v>
      </c>
      <c r="C376" t="str">
        <v>Gasto</v>
      </c>
      <c r="D376" t="str">
        <v>Apuestas</v>
      </c>
      <c r="E376">
        <v>20</v>
      </c>
      <c r="F376" t="str">
        <v>Interbank</v>
      </c>
      <c r="G376" t="str">
        <v>Mayo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>Egreso</v>
      </c>
      <c r="B377">
        <v>46169</v>
      </c>
      <c r="C377" t="str">
        <v>Gasto</v>
      </c>
      <c r="D377" t="str">
        <v>Café</v>
      </c>
      <c r="E377">
        <v>12</v>
      </c>
      <c r="F377" t="str">
        <v>Interbank Amex</v>
      </c>
      <c r="G377" t="str">
        <v>Mayo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Ingreso</v>
      </c>
      <c r="B378">
        <v>46174</v>
      </c>
      <c r="C378" t="str">
        <v>Otro Ing</v>
      </c>
      <c r="D378" t="str">
        <v>Bonificación Ahorro</v>
      </c>
      <c r="E378">
        <v>434.53000000000003</v>
      </c>
      <c r="F378" t="str">
        <v>Interbank</v>
      </c>
      <c r="G378" t="str">
        <v>Junio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Ingreso</v>
      </c>
      <c r="B379">
        <v>46174</v>
      </c>
      <c r="C379" t="str">
        <v>Sueldo</v>
      </c>
      <c r="D379" t="str">
        <v>Sueldo</v>
      </c>
      <c r="E379">
        <v>2259.63</v>
      </c>
      <c r="F379" t="str">
        <v>Interbank</v>
      </c>
      <c r="G379" t="str">
        <v>Junio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>Ingreso</v>
      </c>
      <c r="B380">
        <v>46174</v>
      </c>
      <c r="C380" t="str">
        <v>Tarjeta</v>
      </c>
      <c r="D380" t="str">
        <v>Linea Tarjeta</v>
      </c>
      <c r="E380">
        <v>1225.9</v>
      </c>
      <c r="F380" t="str">
        <v>Ripley</v>
      </c>
      <c r="G380" t="str">
        <v>Junio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>Ingreso</v>
      </c>
      <c r="B381">
        <v>46174</v>
      </c>
      <c r="C381" t="str">
        <v>Tarjeta</v>
      </c>
      <c r="D381" t="str">
        <v>Linea Tarjeta</v>
      </c>
      <c r="E381">
        <v>899.9</v>
      </c>
      <c r="F381" t="str">
        <v>Interbank Amex</v>
      </c>
      <c r="G381" t="str">
        <v>Junio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>Egreso</v>
      </c>
      <c r="B382">
        <v>46174</v>
      </c>
      <c r="C382" t="str">
        <v>Otro Egre</v>
      </c>
      <c r="D382" t="str">
        <v>Padre</v>
      </c>
      <c r="E382">
        <v>15.659999999999998</v>
      </c>
      <c r="F382" t="str">
        <v>Interbank</v>
      </c>
      <c r="G382" t="str">
        <v>Junio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>Egreso</v>
      </c>
      <c r="B383">
        <v>46174</v>
      </c>
      <c r="C383" t="str">
        <v>Servicio</v>
      </c>
      <c r="D383" t="str">
        <v>Pago de Tarjeta Interbank Amex</v>
      </c>
      <c r="E383">
        <v>880.45</v>
      </c>
      <c r="F383" t="str">
        <v>Interbank</v>
      </c>
      <c r="G383" t="str">
        <v>Junio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>Egreso</v>
      </c>
      <c r="B384">
        <v>46174</v>
      </c>
      <c r="C384" t="str">
        <v>Servicio</v>
      </c>
      <c r="D384" t="str">
        <v>Corte de Cabello</v>
      </c>
      <c r="E384">
        <v>20</v>
      </c>
      <c r="F384" t="str">
        <v>Interbank</v>
      </c>
      <c r="G384" t="str">
        <v>Junio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>Egreso</v>
      </c>
      <c r="B385">
        <v>46174</v>
      </c>
      <c r="C385" t="str">
        <v>Otro Egre</v>
      </c>
      <c r="D385" t="str">
        <v>Titulación</v>
      </c>
      <c r="E385">
        <v>434</v>
      </c>
      <c r="F385" t="str">
        <v>Interbank</v>
      </c>
      <c r="G385" t="str">
        <v>Junio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>Egreso</v>
      </c>
      <c r="B386">
        <v>46174</v>
      </c>
      <c r="C386" t="str">
        <v>Otro Egre</v>
      </c>
      <c r="D386" t="str">
        <v>Madre</v>
      </c>
      <c r="E386">
        <v>26</v>
      </c>
      <c r="F386" t="str">
        <v>Interbank</v>
      </c>
      <c r="G386" t="str">
        <v>Junio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>Egreso</v>
      </c>
      <c r="B387">
        <v>46174</v>
      </c>
      <c r="C387" t="str">
        <v>Otro Egre</v>
      </c>
      <c r="D387" t="str">
        <v>Carol</v>
      </c>
      <c r="E387">
        <v>10</v>
      </c>
      <c r="F387" t="str">
        <v>Interbank</v>
      </c>
      <c r="G387" t="str">
        <v>Junio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>Egreso</v>
      </c>
      <c r="B388">
        <v>46174</v>
      </c>
      <c r="C388" t="str">
        <v>Gasto</v>
      </c>
      <c r="D388" t="str">
        <v>Detergente</v>
      </c>
      <c r="E388">
        <v>18.07</v>
      </c>
      <c r="F388" t="str">
        <v>Interbank Amex</v>
      </c>
      <c r="G388" t="str">
        <v>Junio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>Egreso</v>
      </c>
      <c r="B389">
        <v>46174</v>
      </c>
      <c r="C389" t="str">
        <v>Gasto</v>
      </c>
      <c r="D389" t="str">
        <v>Papel Higiénico</v>
      </c>
      <c r="E389">
        <v>18.07</v>
      </c>
      <c r="F389" t="str">
        <v>Interbank Amex</v>
      </c>
      <c r="G389" t="str">
        <v>Junio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</row>
    <row r="390">
      <c r="A390" t="str">
        <v>Egreso</v>
      </c>
      <c r="B390">
        <v>46174</v>
      </c>
      <c r="C390" t="str">
        <v>Gasto</v>
      </c>
      <c r="D390" t="str">
        <v>Pasta Dental</v>
      </c>
      <c r="E390">
        <v>18.06</v>
      </c>
      <c r="F390" t="str">
        <v>Interbank Amex</v>
      </c>
      <c r="G390" t="str">
        <v>Junio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</row>
    <row r="391">
      <c r="A391" t="str">
        <v>Egreso</v>
      </c>
      <c r="B391">
        <v>46174</v>
      </c>
      <c r="C391" t="str">
        <v>Gasto</v>
      </c>
      <c r="D391" t="str">
        <v>Café</v>
      </c>
      <c r="E391">
        <v>17</v>
      </c>
      <c r="F391" t="str">
        <v>Interbank Amex</v>
      </c>
      <c r="G391" t="str">
        <v>Junio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</row>
    <row r="392">
      <c r="A392" t="str">
        <v>Egreso</v>
      </c>
      <c r="B392">
        <v>46174</v>
      </c>
      <c r="C392" t="str">
        <v>Deuda</v>
      </c>
      <c r="D392" t="str">
        <v>iPhone 16</v>
      </c>
      <c r="E392">
        <v>245.75</v>
      </c>
      <c r="F392" t="str">
        <v>Interbank</v>
      </c>
      <c r="G392" t="str">
        <v>Junio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>Egreso</v>
      </c>
      <c r="B393">
        <v>46174</v>
      </c>
      <c r="C393" t="str">
        <v>Gasto</v>
      </c>
      <c r="D393" t="str">
        <v>HappyLand</v>
      </c>
      <c r="E393">
        <v>60</v>
      </c>
      <c r="F393" t="str">
        <v>Interbank Amex</v>
      </c>
      <c r="G393" t="str">
        <v>Junio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>Egreso</v>
      </c>
      <c r="B394">
        <v>46174</v>
      </c>
      <c r="C394" t="str">
        <v>Gasto</v>
      </c>
      <c r="D394" t="str">
        <v>Makis</v>
      </c>
      <c r="E394">
        <v>75</v>
      </c>
      <c r="F394" t="str">
        <v>Interbank Amex</v>
      </c>
      <c r="G394" t="str">
        <v>Junio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</row>
    <row r="395">
      <c r="A395" t="str">
        <v>Egreso</v>
      </c>
      <c r="B395">
        <v>46174</v>
      </c>
      <c r="C395" t="str">
        <v>Gasto</v>
      </c>
      <c r="D395" t="str">
        <v>Bus</v>
      </c>
      <c r="E395">
        <v>3.67</v>
      </c>
      <c r="F395" t="str">
        <v>Interbank</v>
      </c>
      <c r="G395" t="str">
        <v>Junio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Egreso</v>
      </c>
      <c r="B396">
        <v>46174</v>
      </c>
      <c r="C396" t="str">
        <v>Gasto</v>
      </c>
      <c r="D396" t="str">
        <v>Broaster</v>
      </c>
      <c r="E396">
        <v>37.9</v>
      </c>
      <c r="F396" t="str">
        <v>Interbank</v>
      </c>
      <c r="G396" t="str">
        <v>Junio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Egreso</v>
      </c>
      <c r="B397">
        <v>46174</v>
      </c>
      <c r="C397" t="str">
        <v>Gasto</v>
      </c>
      <c r="D397" t="str">
        <v>Gaseosa</v>
      </c>
      <c r="E397">
        <v>8.5</v>
      </c>
      <c r="F397" t="str">
        <v>Interbank</v>
      </c>
      <c r="G397" t="str">
        <v>Junio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Egreso</v>
      </c>
      <c r="B398">
        <v>46174</v>
      </c>
      <c r="C398" t="str">
        <v>Gasto</v>
      </c>
      <c r="D398" t="str">
        <v>Tatuaje</v>
      </c>
      <c r="E398">
        <v>66.66</v>
      </c>
      <c r="F398" t="str">
        <v>Interbank</v>
      </c>
      <c r="G398" t="str">
        <v>Junio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>Egreso</v>
      </c>
      <c r="B399">
        <v>46174</v>
      </c>
      <c r="C399" t="str">
        <v>Gasto</v>
      </c>
      <c r="D399" t="str">
        <v>Bowling</v>
      </c>
      <c r="E399">
        <v>41.17</v>
      </c>
      <c r="F399" t="str">
        <v>Interbank</v>
      </c>
      <c r="G399" t="str">
        <v>Junio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>Egreso</v>
      </c>
      <c r="B400">
        <v>46174</v>
      </c>
      <c r="C400" t="str">
        <v>Gasto</v>
      </c>
      <c r="D400" t="str">
        <v>Bus</v>
      </c>
      <c r="E400">
        <v>7</v>
      </c>
      <c r="F400" t="str">
        <v>Interbank</v>
      </c>
      <c r="G400" t="str">
        <v>Junio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>Egreso</v>
      </c>
      <c r="B401">
        <v>46174</v>
      </c>
      <c r="C401" t="str">
        <v>Gasto</v>
      </c>
      <c r="D401" t="str">
        <v>Bus</v>
      </c>
      <c r="E401">
        <v>2</v>
      </c>
      <c r="F401" t="str">
        <v>Interbank</v>
      </c>
      <c r="G401" t="str">
        <v>Junio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>Egreso</v>
      </c>
      <c r="B402">
        <v>46174</v>
      </c>
      <c r="C402" t="str">
        <v>Gasto</v>
      </c>
      <c r="D402" t="str">
        <v>Bepanten</v>
      </c>
      <c r="E402">
        <v>27.5</v>
      </c>
      <c r="F402" t="str">
        <v>Interbank Amex</v>
      </c>
      <c r="G402" t="str">
        <v>Junio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>Egreso</v>
      </c>
      <c r="B403">
        <v>46174</v>
      </c>
      <c r="C403" t="str">
        <v>Gasto</v>
      </c>
      <c r="D403" t="str">
        <v>Futbol</v>
      </c>
      <c r="E403">
        <v>38.3</v>
      </c>
      <c r="F403" t="str">
        <v>Interbank</v>
      </c>
      <c r="G403" t="str">
        <v>Junio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>Egreso</v>
      </c>
      <c r="B404">
        <v>46174</v>
      </c>
      <c r="C404" t="str">
        <v>Gasto</v>
      </c>
      <c r="D404" t="str">
        <v>Chicharron</v>
      </c>
      <c r="E404">
        <v>20</v>
      </c>
      <c r="F404" t="str">
        <v>Interbank</v>
      </c>
      <c r="G404" t="str">
        <v>Junio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>Egreso</v>
      </c>
      <c r="B405">
        <v>46174</v>
      </c>
      <c r="C405" t="str">
        <v>Otro Egre</v>
      </c>
      <c r="D405" t="str">
        <v>Padre</v>
      </c>
      <c r="E405">
        <v>16.7</v>
      </c>
      <c r="F405" t="str">
        <v>Interbank</v>
      </c>
      <c r="G405" t="str">
        <v>Junio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Egreso</v>
      </c>
      <c r="B406">
        <v>46174</v>
      </c>
      <c r="C406" t="str">
        <v>Servicio</v>
      </c>
      <c r="D406" t="str">
        <v>Spotify</v>
      </c>
      <c r="E406">
        <v>11.9</v>
      </c>
      <c r="F406" t="str">
        <v>Interbank Amex</v>
      </c>
      <c r="G406" t="str">
        <v>Junio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>Egreso</v>
      </c>
      <c r="B407">
        <v>46174</v>
      </c>
      <c r="C407" t="str">
        <v>Otro Egre</v>
      </c>
      <c r="D407" t="str">
        <v>Milagros</v>
      </c>
      <c r="E407">
        <v>9</v>
      </c>
      <c r="F407" t="str">
        <v>Interbank</v>
      </c>
      <c r="G407" t="str">
        <v>Junio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>Egreso</v>
      </c>
      <c r="B408">
        <v>46174</v>
      </c>
      <c r="C408" t="str">
        <v>Servicio</v>
      </c>
      <c r="D408" t="str">
        <v>Agua + Mantenimiento</v>
      </c>
      <c r="E408">
        <v>158.1</v>
      </c>
      <c r="F408" t="str">
        <v>Interbank</v>
      </c>
      <c r="G408" t="str">
        <v>Junio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Egreso</v>
      </c>
      <c r="B409">
        <v>46174</v>
      </c>
      <c r="C409" t="str">
        <v>Servicio</v>
      </c>
      <c r="D409" t="str">
        <v>Internet</v>
      </c>
      <c r="E409">
        <v>79</v>
      </c>
      <c r="F409" t="str">
        <v>Interbank Amex</v>
      </c>
      <c r="G409" t="str">
        <v>Junio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>Egreso</v>
      </c>
      <c r="B410">
        <v>46174</v>
      </c>
      <c r="C410" t="str">
        <v>Servicio</v>
      </c>
      <c r="D410" t="str">
        <v>Luz</v>
      </c>
      <c r="E410">
        <v>102</v>
      </c>
      <c r="F410" t="str">
        <v>Interbank Amex</v>
      </c>
      <c r="G410" t="str">
        <v>Junio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>Egreso</v>
      </c>
      <c r="B411">
        <v>46174</v>
      </c>
      <c r="C411" t="str">
        <v>Servicio</v>
      </c>
      <c r="D411" t="str">
        <v>Gas</v>
      </c>
      <c r="E411">
        <v>44.9</v>
      </c>
      <c r="F411" t="str">
        <v>Interbank Amex</v>
      </c>
      <c r="G411" t="str">
        <v>Junio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>Egreso</v>
      </c>
      <c r="B412">
        <v>46175</v>
      </c>
      <c r="C412" t="str">
        <v>Gasto</v>
      </c>
      <c r="D412" t="str">
        <v>Cine</v>
      </c>
      <c r="E412">
        <v>79.9</v>
      </c>
      <c r="F412" t="str">
        <v>Interbank Amex</v>
      </c>
      <c r="G412" t="str">
        <v>Junio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>Egreso</v>
      </c>
      <c r="B413">
        <v>46175</v>
      </c>
      <c r="C413" t="str">
        <v>Gasto</v>
      </c>
      <c r="D413" t="str">
        <v>Bus</v>
      </c>
      <c r="E413">
        <v>3.5</v>
      </c>
      <c r="F413" t="str">
        <v>Interbank</v>
      </c>
      <c r="G413" t="str">
        <v>Junio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>Egreso</v>
      </c>
      <c r="B414">
        <v>46175</v>
      </c>
      <c r="C414" t="str">
        <v>Otro Egre</v>
      </c>
      <c r="D414" t="str">
        <v>Carol</v>
      </c>
      <c r="E414">
        <v>15</v>
      </c>
      <c r="F414" t="str">
        <v>Interbank</v>
      </c>
      <c r="G414" t="str">
        <v>Junio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>Egreso</v>
      </c>
      <c r="B415">
        <v>46175</v>
      </c>
      <c r="C415" t="str">
        <v>Gasto</v>
      </c>
      <c r="D415" t="str">
        <v>Bus</v>
      </c>
      <c r="E415">
        <v>3.5</v>
      </c>
      <c r="F415" t="str">
        <v>Interbank</v>
      </c>
      <c r="G415" t="str">
        <v>Junio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Egreso</v>
      </c>
      <c r="B416">
        <v>46176</v>
      </c>
      <c r="C416" t="str">
        <v>Gasto</v>
      </c>
      <c r="D416" t="str">
        <v>Cumpleaños Padre</v>
      </c>
      <c r="E416">
        <v>170.4</v>
      </c>
      <c r="F416" t="str">
        <v>Interbank Amex</v>
      </c>
      <c r="G416" t="str">
        <v>Junio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>Egreso</v>
      </c>
      <c r="B417">
        <v>46178</v>
      </c>
      <c r="C417" t="str">
        <v>Gasto</v>
      </c>
      <c r="D417" t="str">
        <v>Cine</v>
      </c>
      <c r="E417">
        <v>29.8</v>
      </c>
      <c r="F417" t="str">
        <v>Interbank Amex</v>
      </c>
      <c r="G417" t="str">
        <v>Junio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>Egreso</v>
      </c>
      <c r="B418">
        <v>46178</v>
      </c>
      <c r="C418" t="str">
        <v>Gasto</v>
      </c>
      <c r="D418" t="str">
        <v>Café</v>
      </c>
      <c r="E418">
        <v>19.5</v>
      </c>
      <c r="F418" t="str">
        <v>Interbank Amex</v>
      </c>
      <c r="G418" t="str">
        <v>Junio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>Egreso</v>
      </c>
      <c r="B419">
        <v>46178</v>
      </c>
      <c r="C419" t="str">
        <v>Gasto</v>
      </c>
      <c r="D419" t="str">
        <v>Taxi</v>
      </c>
      <c r="E419">
        <v>20</v>
      </c>
      <c r="F419" t="str">
        <v>Interbank</v>
      </c>
      <c r="G419" t="str">
        <v>Junio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>Egreso</v>
      </c>
      <c r="B420">
        <v>46178</v>
      </c>
      <c r="C420" t="str">
        <v>Gasto</v>
      </c>
      <c r="D420" t="str">
        <v>Fridays</v>
      </c>
      <c r="E420">
        <v>100.5</v>
      </c>
      <c r="F420" t="str">
        <v>Interbank Amex</v>
      </c>
      <c r="G420" t="str">
        <v>Junio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>Egreso</v>
      </c>
      <c r="B421">
        <v>46178</v>
      </c>
      <c r="C421" t="str">
        <v>Otro Egre</v>
      </c>
      <c r="D421" t="str">
        <v>Karts</v>
      </c>
      <c r="E421">
        <v>30</v>
      </c>
      <c r="F421" t="str">
        <v>Interbank Amex</v>
      </c>
      <c r="G421" t="str">
        <v>Junio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>Egreso</v>
      </c>
      <c r="B422">
        <v>46178</v>
      </c>
      <c r="C422" t="str">
        <v>Servicio</v>
      </c>
      <c r="D422" t="str">
        <v>Desvagramen</v>
      </c>
      <c r="E422">
        <v>16.9</v>
      </c>
      <c r="F422" t="str">
        <v>Ripley</v>
      </c>
      <c r="G422" t="str">
        <v>Junio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>Egreso</v>
      </c>
      <c r="B423">
        <v>46178</v>
      </c>
      <c r="C423" t="str">
        <v>Gasto</v>
      </c>
      <c r="D423" t="str">
        <v>Fifa 26</v>
      </c>
      <c r="E423">
        <v>67.8</v>
      </c>
      <c r="F423" t="str">
        <v>Ripley</v>
      </c>
      <c r="G423" t="str">
        <v>Junio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>Egreso</v>
      </c>
      <c r="B424">
        <v>46180</v>
      </c>
      <c r="C424" t="str">
        <v>Gasto</v>
      </c>
      <c r="D424" t="str">
        <v>Chifa</v>
      </c>
      <c r="E424">
        <v>112</v>
      </c>
      <c r="F424" t="str">
        <v>Ripley</v>
      </c>
      <c r="G424" t="str">
        <v>Junio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>Egreso</v>
      </c>
      <c r="B425">
        <v>46181</v>
      </c>
      <c r="C425" t="str">
        <v>Gasto</v>
      </c>
      <c r="D425" t="str">
        <v>Apuestas</v>
      </c>
      <c r="E425">
        <v>30</v>
      </c>
      <c r="F425" t="str">
        <v>Ripley</v>
      </c>
      <c r="G425" t="str">
        <v>Junio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>Ingreso</v>
      </c>
      <c r="B426">
        <v>46181</v>
      </c>
      <c r="C426" t="str">
        <v>Otro Ing</v>
      </c>
      <c r="D426" t="str">
        <v>Prestamo BCP</v>
      </c>
      <c r="E426">
        <v>1717.92</v>
      </c>
      <c r="F426" t="str">
        <v>Interbank</v>
      </c>
      <c r="G426" t="str">
        <v>Junio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>Egreso</v>
      </c>
      <c r="B427">
        <v>46181</v>
      </c>
      <c r="C427" t="str">
        <v>Gasto</v>
      </c>
      <c r="D427" t="str">
        <v>Viaje Brasil</v>
      </c>
      <c r="E427">
        <v>1600.0600000000002</v>
      </c>
      <c r="F427" t="str">
        <v>Interbank</v>
      </c>
      <c r="G427" t="str">
        <v>Junio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>Egreso</v>
      </c>
      <c r="B428">
        <v>46181</v>
      </c>
      <c r="C428" t="str">
        <v>Gasto</v>
      </c>
      <c r="D428" t="str">
        <v>Futbol</v>
      </c>
      <c r="E428">
        <v>12</v>
      </c>
      <c r="F428" t="str">
        <v>Interbank</v>
      </c>
      <c r="G428" t="str">
        <v>Junio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</row>
    <row r="429">
      <c r="A429" t="str">
        <v>Egreso</v>
      </c>
      <c r="B429">
        <v>46181</v>
      </c>
      <c r="C429" t="str">
        <v>Gasto</v>
      </c>
      <c r="D429" t="str">
        <v>Taxi</v>
      </c>
      <c r="E429">
        <v>50</v>
      </c>
      <c r="F429" t="str">
        <v>Interbank</v>
      </c>
      <c r="G429" t="str">
        <v>Junio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>Egreso</v>
      </c>
      <c r="B430">
        <v>46182</v>
      </c>
      <c r="C430" t="str">
        <v>Gasto</v>
      </c>
      <c r="D430" t="str">
        <v>Café</v>
      </c>
      <c r="E430">
        <v>20</v>
      </c>
      <c r="F430" t="str">
        <v>Ripley</v>
      </c>
      <c r="G430" t="str">
        <v>Junio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 t="str">
        <v>Egreso</v>
      </c>
      <c r="B431">
        <v>46182</v>
      </c>
      <c r="C431" t="str">
        <v>Gasto</v>
      </c>
      <c r="D431" t="str">
        <v>Bus</v>
      </c>
      <c r="E431">
        <v>2.5</v>
      </c>
      <c r="F431" t="str">
        <v>Interbank</v>
      </c>
      <c r="G431" t="str">
        <v>Junio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 t="str">
        <v>Egreso</v>
      </c>
      <c r="B432">
        <v>46182</v>
      </c>
      <c r="C432" t="str">
        <v>Otro Egre</v>
      </c>
      <c r="D432" t="str">
        <v>Café</v>
      </c>
      <c r="E432">
        <v>10</v>
      </c>
      <c r="F432" t="str">
        <v>Interbank</v>
      </c>
      <c r="G432" t="str">
        <v>Junio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</row>
    <row r="433">
      <c r="A433" t="str">
        <v>Egreso</v>
      </c>
      <c r="B433">
        <v>46182</v>
      </c>
      <c r="C433" t="str">
        <v>Gasto</v>
      </c>
      <c r="D433" t="str">
        <v>Bus</v>
      </c>
      <c r="E433">
        <v>6.5</v>
      </c>
      <c r="F433" t="str">
        <v>Interbank</v>
      </c>
      <c r="G433" t="str">
        <v>Junio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</row>
    <row r="434">
      <c r="A434" t="str">
        <v>Egreso</v>
      </c>
      <c r="B434">
        <v>46182</v>
      </c>
      <c r="C434" t="str">
        <v>Gasto</v>
      </c>
      <c r="D434" t="str">
        <v>Bus</v>
      </c>
      <c r="E434">
        <v>4</v>
      </c>
      <c r="F434" t="str">
        <v>Interbank</v>
      </c>
      <c r="G434" t="str">
        <v>Junio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</row>
    <row r="435">
      <c r="A435" t="str">
        <v>Egreso</v>
      </c>
      <c r="B435">
        <v>46182</v>
      </c>
      <c r="C435" t="str">
        <v>Gasto</v>
      </c>
      <c r="D435" t="str">
        <v>Café</v>
      </c>
      <c r="E435">
        <v>13</v>
      </c>
      <c r="F435" t="str">
        <v>Ripley</v>
      </c>
      <c r="G435" t="str">
        <v>Junio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>Egreso</v>
      </c>
      <c r="B436">
        <v>46182</v>
      </c>
      <c r="C436" t="str">
        <v>Otro Egre</v>
      </c>
      <c r="D436" t="str">
        <v>Planet Chicken</v>
      </c>
      <c r="E436">
        <v>55.3</v>
      </c>
      <c r="F436" t="str">
        <v>Ripley</v>
      </c>
      <c r="G436" t="str">
        <v>Junio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</row>
    <row r="437">
      <c r="A437" t="str">
        <v>Egreso</v>
      </c>
      <c r="B437">
        <v>46183</v>
      </c>
      <c r="C437" t="str">
        <v>Gasto</v>
      </c>
      <c r="D437" t="str">
        <v>Café</v>
      </c>
      <c r="E437">
        <v>18</v>
      </c>
      <c r="F437" t="str">
        <v>Interbank Amex</v>
      </c>
      <c r="G437" t="str">
        <v>Junio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>Egreso</v>
      </c>
      <c r="B438">
        <v>46183</v>
      </c>
      <c r="C438" t="str">
        <v>Gasto</v>
      </c>
      <c r="D438" t="str">
        <v>Chifa</v>
      </c>
      <c r="E438">
        <v>25.5</v>
      </c>
      <c r="F438" t="str">
        <v>Interbank Amex</v>
      </c>
      <c r="G438" t="str">
        <v>Junio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>Egreso</v>
      </c>
      <c r="B439">
        <v>46183</v>
      </c>
      <c r="C439" t="str">
        <v>Gasto</v>
      </c>
      <c r="D439" t="str">
        <v>Bus</v>
      </c>
      <c r="E439">
        <v>5.5</v>
      </c>
      <c r="F439" t="str">
        <v>Interbank</v>
      </c>
      <c r="G439" t="str">
        <v>Junio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</row>
    <row r="440">
      <c r="A440" t="str">
        <v>Egreso</v>
      </c>
      <c r="B440">
        <v>46183</v>
      </c>
      <c r="C440" t="str">
        <v>Gasto</v>
      </c>
      <c r="D440" t="str">
        <v>Taxi</v>
      </c>
      <c r="E440">
        <v>11.6</v>
      </c>
      <c r="F440" t="str">
        <v>Interbank</v>
      </c>
      <c r="G440" t="str">
        <v>Junio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</row>
    <row r="441">
      <c r="A441" t="str">
        <v>Egreso</v>
      </c>
      <c r="B441">
        <v>46184</v>
      </c>
      <c r="C441" t="str">
        <v>Servicio</v>
      </c>
      <c r="D441" t="str">
        <v>Streaming</v>
      </c>
      <c r="E441">
        <v>21.5</v>
      </c>
      <c r="F441" t="str">
        <v>Interbank</v>
      </c>
      <c r="G441" t="str">
        <v>Junio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</row>
    <row r="442">
      <c r="A442" t="str">
        <v>Egreso</v>
      </c>
      <c r="B442">
        <v>46184</v>
      </c>
      <c r="C442" t="str">
        <v>Gasto</v>
      </c>
      <c r="D442" t="str">
        <v>Hotel</v>
      </c>
      <c r="E442">
        <v>50</v>
      </c>
      <c r="F442" t="str">
        <v>Interbank</v>
      </c>
      <c r="G442" t="str">
        <v>Junio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>
      <c r="A443" t="str">
        <v>Egreso</v>
      </c>
      <c r="B443">
        <v>46184</v>
      </c>
      <c r="C443" t="str">
        <v>Gasto</v>
      </c>
      <c r="D443" t="str">
        <v>Condones</v>
      </c>
      <c r="E443">
        <v>12</v>
      </c>
      <c r="F443" t="str">
        <v>Interbank</v>
      </c>
      <c r="G443" t="str">
        <v>Junio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>Egreso</v>
      </c>
      <c r="B444">
        <v>46184</v>
      </c>
      <c r="C444" t="str">
        <v>Gasto</v>
      </c>
      <c r="D444" t="str">
        <v>Agua Mineral</v>
      </c>
      <c r="E444">
        <v>7</v>
      </c>
      <c r="F444" t="str">
        <v>Interbank</v>
      </c>
      <c r="G444" t="str">
        <v>Junio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</row>
    <row r="445">
      <c r="A445" t="str">
        <v>Ingreso</v>
      </c>
      <c r="B445">
        <v>46184</v>
      </c>
      <c r="C445" t="str">
        <v>Otro Ing</v>
      </c>
      <c r="D445" t="str">
        <v>Prestamo Yape</v>
      </c>
      <c r="E445">
        <v>600</v>
      </c>
      <c r="F445" t="str">
        <v>Interbank</v>
      </c>
      <c r="G445" t="str">
        <v>Junio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</row>
    <row r="446">
      <c r="A446" t="str">
        <v>Egreso</v>
      </c>
      <c r="B446">
        <v>46184</v>
      </c>
      <c r="C446" t="str">
        <v>Gasto</v>
      </c>
      <c r="D446" t="str">
        <v>Gaseosa</v>
      </c>
      <c r="E446">
        <v>5</v>
      </c>
      <c r="F446" t="str">
        <v>Interbank</v>
      </c>
      <c r="G446" t="str">
        <v>Junio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>
      <c r="A447" t="str">
        <v>Egreso</v>
      </c>
      <c r="B447">
        <v>46184</v>
      </c>
      <c r="C447" t="str">
        <v>Gasto</v>
      </c>
      <c r="D447" t="str">
        <v>Figuritas</v>
      </c>
      <c r="E447">
        <v>9</v>
      </c>
      <c r="F447" t="str">
        <v>Interbank</v>
      </c>
      <c r="G447" t="str">
        <v>Junio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>Egreso</v>
      </c>
      <c r="B448">
        <v>46185</v>
      </c>
      <c r="C448" t="str">
        <v>Gasto</v>
      </c>
      <c r="D448" t="str">
        <v>Broaster</v>
      </c>
      <c r="E448">
        <v>10</v>
      </c>
      <c r="F448" t="str">
        <v>Interbank</v>
      </c>
      <c r="G448" t="str">
        <v>Junio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</row>
    <row r="449">
      <c r="A449" t="str">
        <v>Egreso</v>
      </c>
      <c r="B449">
        <v>46185</v>
      </c>
      <c r="C449" t="str">
        <v>Gasto</v>
      </c>
      <c r="D449" t="str">
        <v>Bus</v>
      </c>
      <c r="E449">
        <v>7</v>
      </c>
      <c r="F449" t="str">
        <v>Interbank</v>
      </c>
      <c r="G449" t="str">
        <v>Junio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</row>
    <row r="450">
      <c r="A450" t="str">
        <v>Egreso</v>
      </c>
      <c r="B450">
        <v>46186</v>
      </c>
      <c r="C450" t="str">
        <v>Otro Egre</v>
      </c>
      <c r="D450" t="str">
        <v>Carol</v>
      </c>
      <c r="E450">
        <v>25</v>
      </c>
      <c r="F450" t="str">
        <v>Interbank</v>
      </c>
      <c r="G450" t="str">
        <v>Junio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</row>
    <row r="451">
      <c r="A451" t="str">
        <v>Egreso</v>
      </c>
      <c r="B451">
        <v>46186</v>
      </c>
      <c r="C451" t="str">
        <v>Gasto</v>
      </c>
      <c r="D451" t="str">
        <v>Broaster</v>
      </c>
      <c r="E451">
        <v>10</v>
      </c>
      <c r="F451" t="str">
        <v>Interbank</v>
      </c>
      <c r="G451" t="str">
        <v>Junio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</row>
    <row r="452">
      <c r="A452" t="str">
        <v>Egreso</v>
      </c>
      <c r="B452">
        <v>46186</v>
      </c>
      <c r="C452" t="str">
        <v>Gasto</v>
      </c>
      <c r="D452" t="str">
        <v>Taxi</v>
      </c>
      <c r="E452">
        <v>21.5</v>
      </c>
      <c r="F452" t="str">
        <v>Interbank</v>
      </c>
      <c r="G452" t="str">
        <v>Junio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</row>
    <row r="453">
      <c r="A453" t="str">
        <v>Egreso</v>
      </c>
      <c r="B453">
        <v>46186</v>
      </c>
      <c r="C453" t="str">
        <v>Gasto</v>
      </c>
      <c r="D453" t="str">
        <v>Café</v>
      </c>
      <c r="E453">
        <v>16.5</v>
      </c>
      <c r="F453" t="str">
        <v>Interbank</v>
      </c>
      <c r="G453" t="str">
        <v>Junio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>
      <c r="A454" t="str">
        <v>Egreso</v>
      </c>
      <c r="B454">
        <v>46186</v>
      </c>
      <c r="C454" t="str">
        <v>Gasto</v>
      </c>
      <c r="D454" t="str">
        <v>Taxi</v>
      </c>
      <c r="E454">
        <v>16</v>
      </c>
      <c r="F454" t="str">
        <v>Interbank Amex</v>
      </c>
      <c r="G454" t="str">
        <v>Junio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>
      <c r="A455" t="str">
        <v>Egreso</v>
      </c>
      <c r="B455">
        <v>46186</v>
      </c>
      <c r="C455" t="str">
        <v>Gasto</v>
      </c>
      <c r="D455" t="str">
        <v>Casaca</v>
      </c>
      <c r="E455">
        <v>100</v>
      </c>
      <c r="F455" t="str">
        <v>Ripley</v>
      </c>
      <c r="G455" t="str">
        <v>Junio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>
      <c r="A456" t="str">
        <v>Egreso</v>
      </c>
      <c r="B456">
        <v>46186</v>
      </c>
      <c r="C456" t="str">
        <v>Gasto</v>
      </c>
      <c r="D456" t="str">
        <v xml:space="preserve">Dollarcity </v>
      </c>
      <c r="E456">
        <v>54</v>
      </c>
      <c r="F456" t="str">
        <v>Ripley</v>
      </c>
      <c r="G456" t="str">
        <v>Junio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</row>
    <row r="457">
      <c r="A457" t="str">
        <v>Egreso</v>
      </c>
      <c r="B457">
        <v>46186</v>
      </c>
      <c r="C457" t="str">
        <v>Gasto</v>
      </c>
      <c r="D457" t="str">
        <v>Café</v>
      </c>
      <c r="E457">
        <v>106</v>
      </c>
      <c r="F457" t="str">
        <v>Interbank</v>
      </c>
      <c r="G457" t="str">
        <v>Junio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>Egreso</v>
      </c>
      <c r="B458">
        <v>46186</v>
      </c>
      <c r="C458" t="str">
        <v>Gasto</v>
      </c>
      <c r="D458" t="str">
        <v>Bus</v>
      </c>
      <c r="E458">
        <v>10.4</v>
      </c>
      <c r="F458" t="str">
        <v>Interbank</v>
      </c>
      <c r="G458" t="str">
        <v>Junio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</row>
    <row r="459">
      <c r="A459" t="str">
        <v>Egreso</v>
      </c>
      <c r="B459">
        <v>46186</v>
      </c>
      <c r="C459" t="str">
        <v>Otro Egre</v>
      </c>
      <c r="D459" t="str">
        <v>Carol</v>
      </c>
      <c r="E459">
        <v>70</v>
      </c>
      <c r="F459" t="str">
        <v>Interbank</v>
      </c>
      <c r="G459" t="str">
        <v>Junio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</row>
    <row r="460">
      <c r="A460" t="str">
        <v>Egreso</v>
      </c>
      <c r="B460">
        <v>46186</v>
      </c>
      <c r="C460" t="str">
        <v>Gasto</v>
      </c>
      <c r="D460" t="str">
        <v>Gaseosa</v>
      </c>
      <c r="E460">
        <v>5</v>
      </c>
      <c r="F460" t="str">
        <v>Interbank</v>
      </c>
      <c r="G460" t="str">
        <v>Junio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</row>
    <row r="461">
      <c r="A461" t="str">
        <v>Egreso</v>
      </c>
      <c r="B461">
        <v>46186</v>
      </c>
      <c r="C461" t="str">
        <v>Gasto</v>
      </c>
      <c r="D461" t="str">
        <v xml:space="preserve">Dollarcity </v>
      </c>
      <c r="E461">
        <v>39.9</v>
      </c>
      <c r="F461" t="str">
        <v>Interbank</v>
      </c>
      <c r="G461" t="str">
        <v>Junio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</row>
    <row r="462">
      <c r="A462" t="str">
        <v>Egreso</v>
      </c>
      <c r="B462">
        <v>46186</v>
      </c>
      <c r="C462" t="str">
        <v>Gasto</v>
      </c>
      <c r="D462" t="str">
        <v>Bus</v>
      </c>
      <c r="E462">
        <v>10</v>
      </c>
      <c r="F462" t="str">
        <v>Interbank</v>
      </c>
      <c r="G462" t="str">
        <v>Junio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</row>
    <row r="463">
      <c r="A463" t="str">
        <v>Egreso</v>
      </c>
      <c r="B463">
        <v>46186</v>
      </c>
      <c r="C463" t="str">
        <v>Gasto</v>
      </c>
      <c r="D463" t="str">
        <v>Casaca</v>
      </c>
      <c r="E463">
        <v>144.92</v>
      </c>
      <c r="F463" t="str">
        <v>Ripley</v>
      </c>
      <c r="G463" t="str">
        <v>Junio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>
      <c r="A464" t="str">
        <v>Ingreso</v>
      </c>
      <c r="B464">
        <v>46186</v>
      </c>
      <c r="C464" t="str">
        <v>Otro Ing</v>
      </c>
      <c r="D464" t="str">
        <v>Carol</v>
      </c>
      <c r="E464">
        <v>145</v>
      </c>
      <c r="F464" t="str">
        <v>Interbank</v>
      </c>
      <c r="G464" t="str">
        <v>Junio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</row>
    <row r="465">
      <c r="A465" t="str">
        <v>Egreso</v>
      </c>
      <c r="B465">
        <v>46187</v>
      </c>
      <c r="C465" t="str">
        <v>Servicio</v>
      </c>
      <c r="D465" t="str">
        <v>iCloud</v>
      </c>
      <c r="E465">
        <v>14.96</v>
      </c>
      <c r="F465" t="str">
        <v>Interbank</v>
      </c>
      <c r="G465" t="str">
        <v>Junio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</row>
    <row r="466">
      <c r="A466" t="str">
        <v>Egreso</v>
      </c>
      <c r="B466">
        <v>46187</v>
      </c>
      <c r="C466" t="str">
        <v>Gasto</v>
      </c>
      <c r="D466" t="str">
        <v>Broaster</v>
      </c>
      <c r="E466">
        <v>12</v>
      </c>
      <c r="F466" t="str">
        <v>Interbank</v>
      </c>
      <c r="G466" t="str">
        <v>Junio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</row>
    <row r="467">
      <c r="A467" t="str">
        <v>Egreso</v>
      </c>
      <c r="B467">
        <v>46188</v>
      </c>
      <c r="C467" t="str">
        <v>Servicio</v>
      </c>
      <c r="D467" t="str">
        <v>Telefonia Movil</v>
      </c>
      <c r="E467">
        <v>39.9</v>
      </c>
      <c r="F467" t="str">
        <v>Interbank Amex</v>
      </c>
      <c r="G467" t="str">
        <v>Junio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</row>
    <row r="468">
      <c r="A468" t="str">
        <v>Egreso</v>
      </c>
      <c r="B468">
        <v>46188</v>
      </c>
      <c r="C468" t="str">
        <v>Servicio</v>
      </c>
      <c r="D468" t="str">
        <v>IA</v>
      </c>
      <c r="E468">
        <v>21.909999999999997</v>
      </c>
      <c r="F468" t="str">
        <v>Interbank</v>
      </c>
      <c r="G468" t="str">
        <v>Junio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>Egreso</v>
      </c>
      <c r="B469">
        <v>46188</v>
      </c>
      <c r="C469" t="str">
        <v>Servicio</v>
      </c>
      <c r="D469" t="str">
        <v>IA</v>
      </c>
      <c r="E469">
        <v>40</v>
      </c>
      <c r="F469" t="str">
        <v>Interbank</v>
      </c>
      <c r="G469" t="str">
        <v>Junio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>
      <c r="A470" t="str">
        <v>Egreso</v>
      </c>
      <c r="B470">
        <v>46189</v>
      </c>
      <c r="C470" t="str">
        <v>Gasto</v>
      </c>
      <c r="D470" t="str">
        <v>Bus</v>
      </c>
      <c r="E470">
        <v>7</v>
      </c>
      <c r="F470" t="str">
        <v>Interbank</v>
      </c>
      <c r="G470" t="str">
        <v>Junio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</row>
    <row r="471">
      <c r="A471" t="str">
        <v>Egreso</v>
      </c>
      <c r="B471">
        <v>46189</v>
      </c>
      <c r="C471" t="str">
        <v>Gasto</v>
      </c>
      <c r="D471" t="str">
        <v>Café</v>
      </c>
      <c r="E471">
        <v>13.5</v>
      </c>
      <c r="F471" t="str">
        <v>Interbank</v>
      </c>
      <c r="G471" t="str">
        <v>Junio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</row>
    <row r="472">
      <c r="A472" t="str">
        <v>Egreso</v>
      </c>
      <c r="B472">
        <v>46189</v>
      </c>
      <c r="C472" t="str">
        <v>Gasto</v>
      </c>
      <c r="D472" t="str">
        <v>Broaster</v>
      </c>
      <c r="E472">
        <v>10</v>
      </c>
      <c r="F472" t="str">
        <v>Interbank</v>
      </c>
      <c r="G472" t="str">
        <v>Junio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>Egreso</v>
      </c>
      <c r="B473">
        <v>46190</v>
      </c>
      <c r="C473" t="str">
        <v>Gasto</v>
      </c>
      <c r="D473" t="str">
        <v>Broaster</v>
      </c>
      <c r="E473">
        <v>12.77</v>
      </c>
      <c r="F473" t="str">
        <v>Interbank</v>
      </c>
      <c r="G473" t="str">
        <v>Junio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</row>
    <row r="474">
      <c r="A474" t="str">
        <v>Ingreso</v>
      </c>
      <c r="B474">
        <v>46192</v>
      </c>
      <c r="C474" t="str">
        <v>Otro Ing</v>
      </c>
      <c r="D474" t="str">
        <v>Apuestas</v>
      </c>
      <c r="E474">
        <v>50</v>
      </c>
      <c r="F474" t="str">
        <v>Interbank</v>
      </c>
      <c r="G474" t="str">
        <v>Junio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</row>
    <row r="475">
      <c r="A475" t="str">
        <v>Egreso</v>
      </c>
      <c r="B475">
        <v>46192</v>
      </c>
      <c r="C475" t="str">
        <v>Gasto</v>
      </c>
      <c r="D475" t="str">
        <v>Gaseosa</v>
      </c>
      <c r="E475">
        <v>3</v>
      </c>
      <c r="F475" t="str">
        <v>Interbank</v>
      </c>
      <c r="G475" t="str">
        <v>Junio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</row>
    <row r="476">
      <c r="A476" t="str">
        <v>Egreso</v>
      </c>
      <c r="B476">
        <v>46192</v>
      </c>
      <c r="C476" t="str">
        <v>Gasto</v>
      </c>
      <c r="D476" t="str">
        <v>Futbol</v>
      </c>
      <c r="E476">
        <v>5</v>
      </c>
      <c r="F476" t="str">
        <v>Interbank</v>
      </c>
      <c r="G476" t="str">
        <v>Junio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</row>
    <row r="477">
      <c r="A477" t="str">
        <v>Egreso</v>
      </c>
      <c r="B477">
        <v>46193</v>
      </c>
      <c r="C477" t="str">
        <v>Gasto</v>
      </c>
      <c r="D477" t="str">
        <v>Bus</v>
      </c>
      <c r="E477">
        <v>1.5</v>
      </c>
      <c r="F477" t="str">
        <v>Interbank</v>
      </c>
      <c r="G477" t="str">
        <v>Junio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</row>
    <row r="478">
      <c r="A478" t="str">
        <v>Egreso</v>
      </c>
      <c r="B478">
        <v>46193</v>
      </c>
      <c r="C478" t="str">
        <v>Gasto</v>
      </c>
      <c r="D478" t="str">
        <v>Bus</v>
      </c>
      <c r="E478">
        <v>4.5</v>
      </c>
      <c r="F478" t="str">
        <v>Interbank</v>
      </c>
      <c r="G478" t="str">
        <v>Junio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</row>
    <row r="479">
      <c r="A479" t="str">
        <v>Egreso</v>
      </c>
      <c r="B479">
        <v>46193</v>
      </c>
      <c r="C479" t="str">
        <v>Gasto</v>
      </c>
      <c r="D479" t="str">
        <v>Figuritas</v>
      </c>
      <c r="E479">
        <v>12</v>
      </c>
      <c r="F479" t="str">
        <v>Interbank</v>
      </c>
      <c r="G479" t="str">
        <v>Junio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>
      <c r="A480" t="str">
        <v>Egreso</v>
      </c>
      <c r="B480">
        <v>46193</v>
      </c>
      <c r="C480" t="str">
        <v>Gasto</v>
      </c>
      <c r="D480" t="str">
        <v>Menú</v>
      </c>
      <c r="E480">
        <v>22</v>
      </c>
      <c r="F480" t="str">
        <v>Interbank</v>
      </c>
      <c r="G480" t="str">
        <v>Junio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</row>
    <row r="481">
      <c r="A481" t="str">
        <v>Egreso</v>
      </c>
      <c r="B481">
        <v>46193</v>
      </c>
      <c r="C481" t="str">
        <v>Gasto</v>
      </c>
      <c r="D481" t="str">
        <v>Dulce de Leche</v>
      </c>
      <c r="E481">
        <v>3.99</v>
      </c>
      <c r="F481" t="str">
        <v>Interbank Amex</v>
      </c>
      <c r="G481" t="str">
        <v>Junio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</row>
    <row r="482">
      <c r="A482" t="str">
        <v>Egreso</v>
      </c>
      <c r="B482">
        <v>46193</v>
      </c>
      <c r="C482" t="str">
        <v>Gasto</v>
      </c>
      <c r="D482" t="str">
        <v>Futbol</v>
      </c>
      <c r="E482">
        <v>23</v>
      </c>
      <c r="F482" t="str">
        <v>Interbank</v>
      </c>
      <c r="G482" t="str">
        <v>Junio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</row>
    <row r="483">
      <c r="A483" t="str">
        <v>Egreso</v>
      </c>
      <c r="B483">
        <v>46194</v>
      </c>
      <c r="C483" t="str">
        <v>Gasto</v>
      </c>
      <c r="D483" t="str">
        <v>Pollo a la Brasa</v>
      </c>
      <c r="E483">
        <v>21.23</v>
      </c>
      <c r="F483" t="str">
        <v>Interbank Amex</v>
      </c>
      <c r="G483" t="str">
        <v>Junio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</row>
    <row r="484">
      <c r="A484" t="str">
        <v>Egreso</v>
      </c>
      <c r="B484">
        <v>46194</v>
      </c>
      <c r="C484" t="str">
        <v>Gasto</v>
      </c>
      <c r="D484" t="str">
        <v>Medicina Madre</v>
      </c>
      <c r="E484">
        <v>18.9</v>
      </c>
      <c r="F484" t="str">
        <v>Interbank Amex</v>
      </c>
      <c r="G484" t="str">
        <v>Junio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</row>
    <row r="485">
      <c r="A485" t="str">
        <v>Egreso</v>
      </c>
      <c r="B485">
        <v>46194</v>
      </c>
      <c r="C485" t="str">
        <v>Gasto</v>
      </c>
      <c r="D485" t="str">
        <v>Medicina Madre</v>
      </c>
      <c r="E485">
        <v>35.2</v>
      </c>
      <c r="F485" t="str">
        <v>Interbank</v>
      </c>
      <c r="G485" t="str">
        <v>Junio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</row>
    <row r="486">
      <c r="A486" t="str">
        <v>Egreso</v>
      </c>
      <c r="B486">
        <v>46195</v>
      </c>
      <c r="C486" t="str">
        <v>Gasto</v>
      </c>
      <c r="D486" t="str">
        <v>Hotel</v>
      </c>
      <c r="E486">
        <v>55</v>
      </c>
      <c r="F486" t="str">
        <v>Interbank Amex</v>
      </c>
      <c r="G486" t="str">
        <v>Junio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</row>
    <row r="487">
      <c r="A487" t="str">
        <v>Egreso</v>
      </c>
      <c r="B487">
        <v>46195</v>
      </c>
      <c r="C487" t="str">
        <v>Gasto</v>
      </c>
      <c r="D487" t="str">
        <v>Condones</v>
      </c>
      <c r="E487">
        <v>12</v>
      </c>
      <c r="F487" t="str">
        <v>Interbank Amex</v>
      </c>
      <c r="G487" t="str">
        <v>Junio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 t="str">
        <v>Egreso</v>
      </c>
      <c r="B488">
        <v>46195</v>
      </c>
      <c r="C488" t="str">
        <v>Gasto</v>
      </c>
      <c r="D488" t="str">
        <v>Agua Mineral</v>
      </c>
      <c r="E488">
        <v>5</v>
      </c>
      <c r="F488" t="str">
        <v>Interbank Amex</v>
      </c>
      <c r="G488" t="str">
        <v>Junio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</row>
    <row r="489">
      <c r="A489" t="str">
        <v>Egreso</v>
      </c>
      <c r="B489">
        <v>46195</v>
      </c>
      <c r="C489" t="str">
        <v>Gasto</v>
      </c>
      <c r="D489" t="str">
        <v>Taxi</v>
      </c>
      <c r="E489">
        <v>13</v>
      </c>
      <c r="F489" t="str">
        <v>Interbank</v>
      </c>
      <c r="G489" t="str">
        <v>Junio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</row>
    <row r="490">
      <c r="A490" t="str">
        <v>Egreso</v>
      </c>
      <c r="B490">
        <v>46195</v>
      </c>
      <c r="C490" t="str">
        <v>Gasto</v>
      </c>
      <c r="D490" t="str">
        <v>Detergente</v>
      </c>
      <c r="E490">
        <v>7.63</v>
      </c>
      <c r="F490" t="str">
        <v>Ripley</v>
      </c>
      <c r="G490" t="str">
        <v>Junio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</row>
    <row r="491">
      <c r="A491" t="str">
        <v>Egreso</v>
      </c>
      <c r="B491">
        <v>46195</v>
      </c>
      <c r="C491" t="str">
        <v>Gasto</v>
      </c>
      <c r="D491" t="str">
        <v>Papel Higiénico</v>
      </c>
      <c r="E491">
        <v>7.63</v>
      </c>
      <c r="F491" t="str">
        <v>Ripley</v>
      </c>
      <c r="G491" t="str">
        <v>Junio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</row>
    <row r="492">
      <c r="A492" t="str">
        <v>Egreso</v>
      </c>
      <c r="B492">
        <v>46195</v>
      </c>
      <c r="C492" t="str">
        <v>Gasto</v>
      </c>
      <c r="D492" t="str">
        <v>Pasta Dental</v>
      </c>
      <c r="E492">
        <v>7.64</v>
      </c>
      <c r="F492" t="str">
        <v>Ripley</v>
      </c>
      <c r="G492" t="str">
        <v>Junio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>Egreso</v>
      </c>
      <c r="B493">
        <v>46196</v>
      </c>
      <c r="C493" t="str">
        <v>Gasto</v>
      </c>
      <c r="D493" t="str">
        <v>Medicina Madre</v>
      </c>
      <c r="E493">
        <v>96</v>
      </c>
      <c r="F493" t="str">
        <v>Ripley</v>
      </c>
      <c r="G493" t="str">
        <v>Junio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</row>
    <row r="494">
      <c r="A494" t="str">
        <v>Egreso</v>
      </c>
      <c r="B494">
        <v>46196</v>
      </c>
      <c r="C494" t="str">
        <v>Gasto</v>
      </c>
      <c r="D494" t="str">
        <v>Broaster</v>
      </c>
      <c r="E494">
        <v>40</v>
      </c>
      <c r="F494" t="str">
        <v>Ripley</v>
      </c>
      <c r="G494" t="str">
        <v>Junio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>
      <c r="A495" t="str">
        <v>Ingreso</v>
      </c>
      <c r="B495">
        <v>46204</v>
      </c>
      <c r="C495" t="str">
        <v>Otro Ing</v>
      </c>
      <c r="D495" t="str">
        <v>Bonificación Ahorro</v>
      </c>
      <c r="E495">
        <v>474.9399999999999</v>
      </c>
      <c r="F495" t="str">
        <v>Interbank</v>
      </c>
      <c r="G495" t="str">
        <v>Julio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</row>
    <row r="496">
      <c r="A496" t="str">
        <v>Ingreso</v>
      </c>
      <c r="B496">
        <v>46204</v>
      </c>
      <c r="C496" t="str">
        <v>Sueldo</v>
      </c>
      <c r="D496" t="str">
        <v>Sueldo</v>
      </c>
      <c r="E496">
        <v>2259.63</v>
      </c>
      <c r="F496" t="str">
        <v>Interbank</v>
      </c>
      <c r="G496" t="str">
        <v>Julio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</row>
    <row r="497">
      <c r="A497" t="str">
        <v>Ingreso</v>
      </c>
      <c r="B497">
        <v>46204</v>
      </c>
      <c r="C497" t="str">
        <v>Tarjeta</v>
      </c>
      <c r="D497" t="str">
        <v>Linea Tarjeta</v>
      </c>
      <c r="E497">
        <v>883.88</v>
      </c>
      <c r="F497" t="str">
        <v>Interbank Amex</v>
      </c>
      <c r="G497" t="str">
        <v>Julio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>Egreso</v>
      </c>
      <c r="B498">
        <v>46204</v>
      </c>
      <c r="C498" t="str">
        <v>Servicio</v>
      </c>
      <c r="D498" t="str">
        <v>Pago de Tarjeta Interbank Amex</v>
      </c>
      <c r="E498">
        <v>878</v>
      </c>
      <c r="F498" t="str">
        <v>Interbank</v>
      </c>
      <c r="G498" t="str">
        <v>Julio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</row>
    <row r="499">
      <c r="A499" t="str">
        <v>Ingreso</v>
      </c>
      <c r="B499">
        <v>46204</v>
      </c>
      <c r="C499" t="str">
        <v>Tarjeta</v>
      </c>
      <c r="D499" t="str">
        <v>Linea Tarjeta</v>
      </c>
      <c r="E499">
        <v>227.18</v>
      </c>
      <c r="F499" t="str">
        <v>Ripley</v>
      </c>
      <c r="G499" t="str">
        <v>Julio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</row>
    <row r="500">
      <c r="A500" t="str">
        <v>Egreso</v>
      </c>
      <c r="B500">
        <v>46204</v>
      </c>
      <c r="C500" t="str">
        <v>Otro Egre</v>
      </c>
      <c r="D500" t="str">
        <v>Titulación</v>
      </c>
      <c r="E500">
        <v>380</v>
      </c>
      <c r="F500" t="str">
        <v>Interbank</v>
      </c>
      <c r="G500" t="str">
        <v>Julio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</row>
    <row r="501">
      <c r="A501" t="str">
        <v>Egreso</v>
      </c>
      <c r="B501">
        <v>46204</v>
      </c>
      <c r="C501" t="str">
        <v>Servicio</v>
      </c>
      <c r="D501" t="str">
        <v>Internet</v>
      </c>
      <c r="E501">
        <v>79</v>
      </c>
      <c r="F501" t="str">
        <v>Interbank Amex</v>
      </c>
      <c r="G501" t="str">
        <v>Julio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</row>
    <row r="502">
      <c r="A502" t="str">
        <v>Egreso</v>
      </c>
      <c r="B502">
        <v>46204</v>
      </c>
      <c r="C502" t="str">
        <v>Servicio</v>
      </c>
      <c r="D502" t="str">
        <v>Luz</v>
      </c>
      <c r="E502">
        <v>94</v>
      </c>
      <c r="F502" t="str">
        <v>Interbank Amex</v>
      </c>
      <c r="G502" t="str">
        <v>Julio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</row>
    <row r="503">
      <c r="A503" t="str">
        <v>Egreso</v>
      </c>
      <c r="B503">
        <v>46204</v>
      </c>
      <c r="C503" t="str">
        <v>Servicio</v>
      </c>
      <c r="D503" t="str">
        <v>Gas</v>
      </c>
      <c r="E503">
        <v>48.5</v>
      </c>
      <c r="F503" t="str">
        <v>Interbank Amex</v>
      </c>
      <c r="G503" t="str">
        <v>Julio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</row>
    <row r="504">
      <c r="A504" t="str">
        <v>Egreso</v>
      </c>
      <c r="B504">
        <v>46204</v>
      </c>
      <c r="C504" t="str">
        <v>Deuda</v>
      </c>
      <c r="D504" t="str">
        <v>Prestamo Yape</v>
      </c>
      <c r="E504">
        <v>116.85</v>
      </c>
      <c r="F504" t="str">
        <v>Interbank</v>
      </c>
      <c r="G504" t="str">
        <v>Julio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</row>
    <row r="505">
      <c r="A505" t="str">
        <v>Egreso</v>
      </c>
      <c r="B505">
        <v>46204</v>
      </c>
      <c r="C505" t="str">
        <v>Servicio</v>
      </c>
      <c r="D505" t="str">
        <v>Agua + Mantenimiento</v>
      </c>
      <c r="E505">
        <v>160</v>
      </c>
      <c r="F505" t="str">
        <v>Interbank</v>
      </c>
      <c r="G505" t="str">
        <v>Julio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</row>
    <row r="506">
      <c r="A506" t="str">
        <v>Egreso</v>
      </c>
      <c r="B506">
        <v>46204</v>
      </c>
      <c r="C506" t="str">
        <v>Deuda</v>
      </c>
      <c r="D506" t="str">
        <v>iPhone 16</v>
      </c>
      <c r="E506">
        <v>245.75</v>
      </c>
      <c r="F506" t="str">
        <v>Interbank</v>
      </c>
      <c r="G506" t="str">
        <v>Julio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</row>
    <row r="507">
      <c r="A507" t="str">
        <v>Egreso</v>
      </c>
      <c r="B507">
        <v>46204</v>
      </c>
      <c r="C507" t="str">
        <v>Gasto</v>
      </c>
      <c r="D507" t="str">
        <v>Broaster</v>
      </c>
      <c r="E507">
        <v>12</v>
      </c>
      <c r="F507" t="str">
        <v>Interbank</v>
      </c>
      <c r="G507" t="str">
        <v>Julio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>
      <c r="A508" t="str">
        <v>Egreso</v>
      </c>
      <c r="B508">
        <v>46204</v>
      </c>
      <c r="C508" t="str">
        <v>Gasto</v>
      </c>
      <c r="D508" t="str">
        <v>Bus</v>
      </c>
      <c r="E508">
        <v>4</v>
      </c>
      <c r="F508" t="str">
        <v>Interbank</v>
      </c>
      <c r="G508" t="str">
        <v>Julio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</row>
    <row r="509">
      <c r="A509" t="str">
        <v>Egreso</v>
      </c>
      <c r="B509">
        <v>46204</v>
      </c>
      <c r="C509" t="str">
        <v>Gasto</v>
      </c>
      <c r="D509" t="str">
        <v>Cine</v>
      </c>
      <c r="E509">
        <v>47</v>
      </c>
      <c r="F509" t="str">
        <v>Interbank Amex</v>
      </c>
      <c r="G509" t="str">
        <v>Julio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>
      <c r="A510" t="str">
        <v>Egreso</v>
      </c>
      <c r="B510">
        <v>46204</v>
      </c>
      <c r="C510" t="str">
        <v>Gasto</v>
      </c>
      <c r="D510" t="str">
        <v>Pollo a la Brasa</v>
      </c>
      <c r="E510">
        <v>58.5</v>
      </c>
      <c r="F510" t="str">
        <v>Interbank Amex</v>
      </c>
      <c r="G510" t="str">
        <v>Julio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</row>
    <row r="511">
      <c r="A511" t="str">
        <v>Egreso</v>
      </c>
      <c r="B511">
        <v>46204</v>
      </c>
      <c r="C511" t="str">
        <v>Gasto</v>
      </c>
      <c r="D511" t="str">
        <v>Coptel</v>
      </c>
      <c r="E511">
        <v>50</v>
      </c>
      <c r="F511" t="str">
        <v>Interbank Amex</v>
      </c>
      <c r="G511" t="str">
        <v>Julio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</row>
    <row r="512">
      <c r="A512" t="str">
        <v>Egreso</v>
      </c>
      <c r="B512">
        <v>46204</v>
      </c>
      <c r="C512" t="str">
        <v>Gasto</v>
      </c>
      <c r="D512" t="str">
        <v>Bus</v>
      </c>
      <c r="E512">
        <v>8</v>
      </c>
      <c r="F512" t="str">
        <v>Interbank</v>
      </c>
      <c r="G512" t="str">
        <v>Julio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>
      <c r="A513" t="str">
        <v>Egreso</v>
      </c>
      <c r="B513">
        <v>46204</v>
      </c>
      <c r="C513" t="str">
        <v>Gasto</v>
      </c>
      <c r="D513" t="str">
        <v>Broaster</v>
      </c>
      <c r="E513">
        <v>10</v>
      </c>
      <c r="F513" t="str">
        <v>Interbank</v>
      </c>
      <c r="G513" t="str">
        <v>Julio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>Egreso</v>
      </c>
      <c r="B514">
        <v>46204</v>
      </c>
      <c r="C514" t="str">
        <v>Gasto</v>
      </c>
      <c r="D514" t="str">
        <v>Detergente</v>
      </c>
      <c r="E514">
        <v>5.2</v>
      </c>
      <c r="F514" t="str">
        <v>Interbank Amex</v>
      </c>
      <c r="G514" t="str">
        <v>Julio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>
      <c r="A515" t="str">
        <v>Egreso</v>
      </c>
      <c r="B515">
        <v>46204</v>
      </c>
      <c r="C515" t="str">
        <v>Gasto</v>
      </c>
      <c r="D515" t="str">
        <v>Papel Higiénico</v>
      </c>
      <c r="E515">
        <v>5.2</v>
      </c>
      <c r="F515" t="str">
        <v>Interbank Amex</v>
      </c>
      <c r="G515" t="str">
        <v>Julio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</row>
    <row r="516">
      <c r="A516" t="str">
        <v>Egreso</v>
      </c>
      <c r="B516">
        <v>46204</v>
      </c>
      <c r="C516" t="str">
        <v>Gasto</v>
      </c>
      <c r="D516" t="str">
        <v>Pasta Dental</v>
      </c>
      <c r="E516">
        <v>5.2</v>
      </c>
      <c r="F516" t="str">
        <v>Interbank Amex</v>
      </c>
      <c r="G516" t="str">
        <v>Julio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</row>
    <row r="517">
      <c r="A517" t="str">
        <v>Egreso</v>
      </c>
      <c r="B517">
        <v>46204</v>
      </c>
      <c r="C517" t="str">
        <v>Gasto</v>
      </c>
      <c r="D517" t="str">
        <v>Broaster</v>
      </c>
      <c r="E517">
        <v>12</v>
      </c>
      <c r="F517" t="str">
        <v>Interbank</v>
      </c>
      <c r="G517" t="str">
        <v>Julio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>Egreso</v>
      </c>
      <c r="B518">
        <v>46204</v>
      </c>
      <c r="C518" t="str">
        <v>Gasto</v>
      </c>
      <c r="D518" t="str">
        <v>Bus</v>
      </c>
      <c r="E518">
        <v>6</v>
      </c>
      <c r="F518" t="str">
        <v>Interbank</v>
      </c>
      <c r="G518" t="str">
        <v>Julio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</row>
    <row r="519">
      <c r="A519" t="str">
        <v>Egreso</v>
      </c>
      <c r="B519">
        <v>46204</v>
      </c>
      <c r="C519" t="str">
        <v>Gasto</v>
      </c>
      <c r="D519" t="str">
        <v>Café</v>
      </c>
      <c r="E519">
        <v>18</v>
      </c>
      <c r="F519" t="str">
        <v>Interbank Amex</v>
      </c>
      <c r="G519" t="str">
        <v>Julio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 t="str">
        <v>Egreso</v>
      </c>
      <c r="B520">
        <v>46204</v>
      </c>
      <c r="C520" t="str">
        <v>Otro Egre</v>
      </c>
      <c r="D520" t="str">
        <v>Carol</v>
      </c>
      <c r="E520">
        <v>30</v>
      </c>
      <c r="F520" t="str">
        <v>Interbank</v>
      </c>
      <c r="G520" t="str">
        <v>Julio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 t="str">
        <v>Egreso</v>
      </c>
      <c r="B521">
        <v>46204</v>
      </c>
      <c r="C521" t="str">
        <v>Otro Egre</v>
      </c>
      <c r="D521" t="str">
        <v>Carol</v>
      </c>
      <c r="E521">
        <v>60</v>
      </c>
      <c r="F521" t="str">
        <v>Interbank Amex</v>
      </c>
      <c r="G521" t="str">
        <v>Julio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</row>
    <row r="522">
      <c r="A522" t="str">
        <v>Egreso</v>
      </c>
      <c r="B522">
        <v>46204</v>
      </c>
      <c r="C522" t="str">
        <v>Servicio</v>
      </c>
      <c r="D522" t="str">
        <v>Spotify</v>
      </c>
      <c r="E522">
        <v>11.9</v>
      </c>
      <c r="F522" t="str">
        <v>Interbank Amex</v>
      </c>
      <c r="G522" t="str">
        <v>Julio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>Egreso</v>
      </c>
      <c r="B523">
        <v>46204</v>
      </c>
      <c r="C523" t="str">
        <v>Gasto</v>
      </c>
      <c r="D523" t="str">
        <v>Bus</v>
      </c>
      <c r="E523">
        <v>8</v>
      </c>
      <c r="F523" t="str">
        <v>Interbank</v>
      </c>
      <c r="G523" t="str">
        <v>Julio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 t="str">
        <v>Egreso</v>
      </c>
      <c r="B524">
        <v>46204</v>
      </c>
      <c r="C524" t="str">
        <v>Otro Egre</v>
      </c>
      <c r="D524" t="str">
        <v>Carol</v>
      </c>
      <c r="E524">
        <v>39</v>
      </c>
      <c r="F524" t="str">
        <v>Ripley</v>
      </c>
      <c r="G524" t="str">
        <v>Julio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>
      <c r="A525" t="str">
        <v>Ingreso</v>
      </c>
      <c r="B525">
        <v>46205</v>
      </c>
      <c r="C525" t="str">
        <v>Tarjeta</v>
      </c>
      <c r="D525" t="str">
        <v>Linea Tarjeta</v>
      </c>
      <c r="E525">
        <v>700</v>
      </c>
      <c r="F525" t="str">
        <v>BBVA Bfree</v>
      </c>
      <c r="G525" t="str">
        <v>Julio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 t="str">
        <v>Egreso</v>
      </c>
      <c r="B526">
        <v>46205</v>
      </c>
      <c r="C526" t="str">
        <v>Gasto</v>
      </c>
      <c r="D526" t="str">
        <v>Apuestas</v>
      </c>
      <c r="E526">
        <v>30</v>
      </c>
      <c r="F526" t="str">
        <v>Interbank</v>
      </c>
      <c r="G526" t="str">
        <v>Julio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 t="str">
        <v>Egreso</v>
      </c>
      <c r="B527">
        <v>46206</v>
      </c>
      <c r="C527" t="str">
        <v>Otro Egre</v>
      </c>
      <c r="D527" t="str">
        <v>Seguro Rimac</v>
      </c>
      <c r="E527">
        <v>178.99</v>
      </c>
      <c r="F527" t="str">
        <v>BBVA Bfree</v>
      </c>
      <c r="G527" t="str">
        <v>Julio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>Egreso</v>
      </c>
      <c r="B528">
        <v>46207</v>
      </c>
      <c r="C528" t="str">
        <v>Gasto</v>
      </c>
      <c r="D528" t="str">
        <v>Taxi</v>
      </c>
      <c r="E528">
        <v>15.5</v>
      </c>
      <c r="F528" t="str">
        <v>Interbank</v>
      </c>
      <c r="G528" t="str">
        <v>Julio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</row>
    <row r="529">
      <c r="A529" t="str">
        <v>Egreso</v>
      </c>
      <c r="B529">
        <v>46207</v>
      </c>
      <c r="C529" t="str">
        <v>Servicio</v>
      </c>
      <c r="D529" t="str">
        <v>Desvagramen</v>
      </c>
      <c r="E529">
        <v>15.9</v>
      </c>
      <c r="F529" t="str">
        <v>Ripley</v>
      </c>
      <c r="G529" t="str">
        <v>Julio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</row>
    <row r="530">
      <c r="A530" t="str">
        <v>Egreso</v>
      </c>
      <c r="B530">
        <v>46207</v>
      </c>
      <c r="C530" t="str">
        <v>Otro Egre</v>
      </c>
      <c r="D530" t="str">
        <v>Carol</v>
      </c>
      <c r="E530">
        <v>45.9</v>
      </c>
      <c r="F530" t="str">
        <v>Ripley</v>
      </c>
      <c r="G530" t="str">
        <v>Julio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</row>
    <row r="531">
      <c r="A531" t="str">
        <v>Egreso</v>
      </c>
      <c r="B531">
        <v>46207</v>
      </c>
      <c r="C531" t="str">
        <v>Otro Egre</v>
      </c>
      <c r="D531" t="str">
        <v>Carol</v>
      </c>
      <c r="E531">
        <v>65</v>
      </c>
      <c r="F531" t="str">
        <v>Ripley</v>
      </c>
      <c r="G531" t="str">
        <v>Julio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</row>
    <row r="532">
      <c r="A532" t="str">
        <v>Egreso</v>
      </c>
      <c r="B532">
        <v>46207</v>
      </c>
      <c r="C532" t="str">
        <v>Otro Egre</v>
      </c>
      <c r="D532" t="str">
        <v>Carol</v>
      </c>
      <c r="E532">
        <v>34</v>
      </c>
      <c r="F532" t="str">
        <v>Ripley</v>
      </c>
      <c r="G532" t="str">
        <v>Julio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</row>
    <row r="533">
      <c r="A533" t="str">
        <v>Egreso</v>
      </c>
      <c r="B533">
        <v>46207</v>
      </c>
      <c r="C533" t="str">
        <v>Gasto</v>
      </c>
      <c r="D533" t="str">
        <v>Condones</v>
      </c>
      <c r="E533">
        <v>20</v>
      </c>
      <c r="F533" t="str">
        <v>Ripley</v>
      </c>
      <c r="G533" t="str">
        <v>Julio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 t="str">
        <v>Egreso</v>
      </c>
      <c r="B534">
        <v>46209</v>
      </c>
      <c r="C534" t="str">
        <v>Otro Egre</v>
      </c>
      <c r="D534" t="str">
        <v>Madre</v>
      </c>
      <c r="E534">
        <v>6</v>
      </c>
      <c r="F534" t="str">
        <v>Interbank</v>
      </c>
      <c r="G534" t="str">
        <v>Julio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</row>
    <row r="535">
      <c r="A535" t="str">
        <v>Egreso</v>
      </c>
      <c r="B535">
        <v>46209</v>
      </c>
      <c r="C535" t="str">
        <v>Otro Egre</v>
      </c>
      <c r="D535" t="str">
        <v>Carol</v>
      </c>
      <c r="E535">
        <v>23</v>
      </c>
      <c r="F535" t="str">
        <v>Interbank</v>
      </c>
      <c r="G535" t="str">
        <v>Julio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</row>
    <row r="536">
      <c r="A536" t="str">
        <v>Egreso</v>
      </c>
      <c r="B536">
        <v>46209</v>
      </c>
      <c r="C536" t="str">
        <v>Gasto</v>
      </c>
      <c r="D536" t="str">
        <v>Taxi</v>
      </c>
      <c r="E536">
        <v>11</v>
      </c>
      <c r="F536" t="str">
        <v>Interbank</v>
      </c>
      <c r="G536" t="str">
        <v>Julio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>Egreso</v>
      </c>
      <c r="B537">
        <v>46209</v>
      </c>
      <c r="C537" t="str">
        <v>Gasto</v>
      </c>
      <c r="D537" t="str">
        <v>Apuestas</v>
      </c>
      <c r="E537">
        <v>30</v>
      </c>
      <c r="F537" t="str">
        <v>Interbank</v>
      </c>
      <c r="G537" t="str">
        <v>Julio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>Egreso</v>
      </c>
      <c r="B538">
        <v>46209</v>
      </c>
      <c r="C538" t="str">
        <v>Otro Egre</v>
      </c>
      <c r="D538" t="str">
        <v>Padre</v>
      </c>
      <c r="E538">
        <v>10</v>
      </c>
      <c r="F538" t="str">
        <v>Interbank</v>
      </c>
      <c r="G538" t="str">
        <v>Julio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 t="str">
        <v>Egreso</v>
      </c>
      <c r="B539">
        <v>46210</v>
      </c>
      <c r="C539" t="str">
        <v>Gasto</v>
      </c>
      <c r="D539" t="str">
        <v>Detergente</v>
      </c>
      <c r="E539">
        <v>0.43</v>
      </c>
      <c r="F539" t="str">
        <v>Interbank</v>
      </c>
      <c r="G539" t="str">
        <v>Julio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>Egreso</v>
      </c>
      <c r="B540">
        <v>46210</v>
      </c>
      <c r="C540" t="str">
        <v>Gasto</v>
      </c>
      <c r="D540" t="str">
        <v>Papel Higiénico</v>
      </c>
      <c r="E540">
        <v>0.43</v>
      </c>
      <c r="F540" t="str">
        <v>Interbank</v>
      </c>
      <c r="G540" t="str">
        <v>Julio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>Egreso</v>
      </c>
      <c r="B541">
        <v>46210</v>
      </c>
      <c r="C541" t="str">
        <v>Gasto</v>
      </c>
      <c r="D541" t="str">
        <v>Pasta Dental</v>
      </c>
      <c r="E541">
        <v>0.44</v>
      </c>
      <c r="F541" t="str">
        <v>Interbank</v>
      </c>
      <c r="G541" t="str">
        <v>Julio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</row>
    <row r="542">
      <c r="A542" t="str">
        <v>Egreso</v>
      </c>
      <c r="B542">
        <v>46210</v>
      </c>
      <c r="C542" t="str">
        <v>Gasto</v>
      </c>
      <c r="D542" t="str">
        <v>Bus</v>
      </c>
      <c r="E542">
        <v>2.5</v>
      </c>
      <c r="F542" t="str">
        <v>Interbank</v>
      </c>
      <c r="G542" t="str">
        <v>Julio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</row>
    <row r="543">
      <c r="A543" t="str">
        <v>Egreso</v>
      </c>
      <c r="B543">
        <v>46211</v>
      </c>
      <c r="C543" t="str">
        <v>Gasto</v>
      </c>
      <c r="D543" t="str">
        <v>Broaster</v>
      </c>
      <c r="E543">
        <v>13</v>
      </c>
      <c r="F543" t="str">
        <v>Interbank</v>
      </c>
      <c r="G543" t="str">
        <v>Julio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</row>
    <row r="544">
      <c r="A544" t="str">
        <v>Egreso</v>
      </c>
      <c r="B544">
        <v>46213</v>
      </c>
      <c r="C544" t="str">
        <v>Otro Egre</v>
      </c>
      <c r="D544" t="str">
        <v>Carol</v>
      </c>
      <c r="E544">
        <v>20</v>
      </c>
      <c r="F544" t="str">
        <v>Interbank</v>
      </c>
      <c r="G544" t="str">
        <v>Julio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 t="str">
        <v>Ingreso</v>
      </c>
      <c r="B545">
        <v>46213</v>
      </c>
      <c r="C545" t="str">
        <v>Sueldo</v>
      </c>
      <c r="D545" t="str">
        <v>Gratificación</v>
      </c>
      <c r="E545">
        <v>2721.6</v>
      </c>
      <c r="F545" t="str">
        <v>Interbank</v>
      </c>
      <c r="G545" t="str">
        <v>Julio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</row>
    <row r="546">
      <c r="A546" t="str">
        <v>Egreso</v>
      </c>
      <c r="B546">
        <v>46213</v>
      </c>
      <c r="C546" t="str">
        <v>Gasto</v>
      </c>
      <c r="D546" t="str">
        <v>Viaje Brasil</v>
      </c>
      <c r="E546">
        <v>2084.8</v>
      </c>
      <c r="F546" t="str">
        <v>Interbank</v>
      </c>
      <c r="G546" t="str">
        <v>Julio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 t="str">
        <v>Egreso</v>
      </c>
      <c r="B547">
        <v>46213</v>
      </c>
      <c r="C547" t="str">
        <v>Otro Egre</v>
      </c>
      <c r="D547" t="str">
        <v>Titulación</v>
      </c>
      <c r="E547">
        <v>160.00000000000006</v>
      </c>
      <c r="F547" t="str">
        <v>Interbank</v>
      </c>
      <c r="G547" t="str">
        <v>Julio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>Egreso</v>
      </c>
      <c r="B548">
        <v>46213</v>
      </c>
      <c r="C548" t="str">
        <v>Servicio</v>
      </c>
      <c r="D548" t="str">
        <v>Desvagramen</v>
      </c>
      <c r="E548">
        <v>0.61</v>
      </c>
      <c r="F548" t="str">
        <v>BBVA Bfree</v>
      </c>
      <c r="G548" t="str">
        <v>Julio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>Egreso</v>
      </c>
      <c r="B549">
        <v>46214</v>
      </c>
      <c r="C549" t="str">
        <v>Gasto</v>
      </c>
      <c r="D549" t="str">
        <v>Taxi</v>
      </c>
      <c r="E549">
        <v>34.5</v>
      </c>
      <c r="F549" t="str">
        <v>Interbank</v>
      </c>
      <c r="G549" t="str">
        <v>Julio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>Egreso</v>
      </c>
      <c r="B550">
        <v>46214</v>
      </c>
      <c r="C550" t="str">
        <v>Gasto</v>
      </c>
      <c r="D550" t="str">
        <v>Alcohol</v>
      </c>
      <c r="E550">
        <v>12</v>
      </c>
      <c r="F550" t="str">
        <v>Interbank</v>
      </c>
      <c r="G550" t="str">
        <v>Julio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</row>
    <row r="551">
      <c r="A551" t="str">
        <v>Egreso</v>
      </c>
      <c r="B551">
        <v>46214</v>
      </c>
      <c r="C551" t="str">
        <v>Otro Egre</v>
      </c>
      <c r="D551" t="str">
        <v>Carol</v>
      </c>
      <c r="E551">
        <v>38</v>
      </c>
      <c r="F551" t="str">
        <v>Interbank</v>
      </c>
      <c r="G551" t="str">
        <v>Julio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 t="str">
        <v>Egreso</v>
      </c>
      <c r="B552">
        <v>46214</v>
      </c>
      <c r="C552" t="str">
        <v>Gasto</v>
      </c>
      <c r="D552" t="str">
        <v>Crema de Manos</v>
      </c>
      <c r="E552">
        <v>49.5</v>
      </c>
      <c r="F552" t="str">
        <v>Interbank</v>
      </c>
      <c r="G552" t="str">
        <v>Julio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 t="str">
        <v>Egreso</v>
      </c>
      <c r="B553">
        <v>46214</v>
      </c>
      <c r="C553" t="str">
        <v>Gasto</v>
      </c>
      <c r="D553" t="str">
        <v>Café</v>
      </c>
      <c r="E553">
        <v>16</v>
      </c>
      <c r="F553" t="str">
        <v>Interbank Amex</v>
      </c>
      <c r="G553" t="str">
        <v>Julio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>Egreso</v>
      </c>
      <c r="B554">
        <v>46214</v>
      </c>
      <c r="C554" t="str">
        <v>Gasto</v>
      </c>
      <c r="D554" t="str">
        <v xml:space="preserve">Dollarcity </v>
      </c>
      <c r="E554">
        <v>3</v>
      </c>
      <c r="F554" t="str">
        <v>BBVA Bfree</v>
      </c>
      <c r="G554" t="str">
        <v>Julio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>Egreso</v>
      </c>
      <c r="B555">
        <v>46214</v>
      </c>
      <c r="C555" t="str">
        <v>Gasto</v>
      </c>
      <c r="D555" t="str">
        <v>Pizza</v>
      </c>
      <c r="E555">
        <v>56</v>
      </c>
      <c r="F555" t="str">
        <v>BBVA Bfree</v>
      </c>
      <c r="G555" t="str">
        <v>Julio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</row>
    <row r="556">
      <c r="A556" t="str">
        <v>Egreso</v>
      </c>
      <c r="B556">
        <v>46215</v>
      </c>
      <c r="C556" t="str">
        <v>Gasto</v>
      </c>
      <c r="D556" t="str">
        <v>Broaster</v>
      </c>
      <c r="E556">
        <v>15</v>
      </c>
      <c r="F556" t="str">
        <v>Interbank</v>
      </c>
      <c r="G556" t="str">
        <v>Julio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</row>
    <row r="557">
      <c r="A557" t="str">
        <v>Egreso</v>
      </c>
      <c r="B557">
        <v>46218</v>
      </c>
      <c r="C557" t="str">
        <v>Deuda</v>
      </c>
      <c r="D557" t="str">
        <v>Prestamo BCP</v>
      </c>
      <c r="E557">
        <v>143.16</v>
      </c>
      <c r="F557" t="str">
        <v>Interbank</v>
      </c>
      <c r="G557" t="str">
        <v>Julio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>Egreso</v>
      </c>
      <c r="B558">
        <v>46218</v>
      </c>
      <c r="C558" t="str">
        <v>Gasto</v>
      </c>
      <c r="D558" t="str">
        <v>Concierto Trueno</v>
      </c>
      <c r="E558">
        <v>132</v>
      </c>
      <c r="F558" t="str">
        <v>Interbank</v>
      </c>
      <c r="G558" t="str">
        <v>Julio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 t="str">
        <v>Egreso</v>
      </c>
      <c r="B559">
        <v>46218</v>
      </c>
      <c r="C559" t="str">
        <v>Gasto</v>
      </c>
      <c r="D559" t="str">
        <v>Taxi</v>
      </c>
      <c r="E559">
        <v>17.5</v>
      </c>
      <c r="F559" t="str">
        <v>Interbank</v>
      </c>
      <c r="G559" t="str">
        <v>Julio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</row>
    <row r="560">
      <c r="A560" t="str">
        <v>Egreso</v>
      </c>
      <c r="B560">
        <v>46218</v>
      </c>
      <c r="C560" t="str">
        <v>Gasto</v>
      </c>
      <c r="D560" t="str">
        <v>Café</v>
      </c>
      <c r="E560">
        <v>20</v>
      </c>
      <c r="F560" t="str">
        <v>BBVA Bfree</v>
      </c>
      <c r="G560" t="str">
        <v>Julio</v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</row>
    <row r="561">
      <c r="A561" t="str">
        <v>Egreso</v>
      </c>
      <c r="B561">
        <v>46218</v>
      </c>
      <c r="C561" t="str">
        <v>Gasto</v>
      </c>
      <c r="D561" t="str">
        <v>Makis</v>
      </c>
      <c r="E561">
        <v>96</v>
      </c>
      <c r="F561" t="str">
        <v>BBVA Bfree</v>
      </c>
      <c r="G561" t="str">
        <v>Julio</v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 t="str">
        <v>Egreso</v>
      </c>
      <c r="B562">
        <v>46218</v>
      </c>
      <c r="C562" t="str">
        <v>Otro Egre</v>
      </c>
      <c r="D562" t="str">
        <v>Carol</v>
      </c>
      <c r="E562">
        <v>16</v>
      </c>
      <c r="F562" t="str">
        <v>BBVA Bfree</v>
      </c>
      <c r="G562" t="str">
        <v>Julio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</row>
    <row r="563">
      <c r="A563" t="str">
        <v>Egreso</v>
      </c>
      <c r="B563">
        <v>46220</v>
      </c>
      <c r="C563" t="str">
        <v>Gasto</v>
      </c>
      <c r="D563" t="str">
        <v>Taxi</v>
      </c>
      <c r="E563">
        <v>11.5</v>
      </c>
      <c r="F563" t="str">
        <v>Interbank</v>
      </c>
      <c r="G563" t="str">
        <v>Julio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</row>
    <row r="564">
      <c r="A564" t="str">
        <v>Egreso</v>
      </c>
      <c r="B564">
        <v>46220</v>
      </c>
      <c r="C564" t="str">
        <v>Otro Egre</v>
      </c>
      <c r="D564" t="str">
        <v>Carol</v>
      </c>
      <c r="E564">
        <v>15</v>
      </c>
      <c r="F564" t="str">
        <v>Interbank</v>
      </c>
      <c r="G564" t="str">
        <v>Julio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 t="str">
        <v>Egreso</v>
      </c>
      <c r="B565">
        <v>46221</v>
      </c>
      <c r="C565" t="str">
        <v>Gasto</v>
      </c>
      <c r="D565" t="str">
        <v>Taxi</v>
      </c>
      <c r="E565">
        <v>55</v>
      </c>
      <c r="F565" t="str">
        <v>Interbank</v>
      </c>
      <c r="G565" t="str">
        <v>Julio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>Egreso</v>
      </c>
      <c r="B566">
        <v>46221</v>
      </c>
      <c r="C566" t="str">
        <v>Gasto</v>
      </c>
      <c r="D566" t="str">
        <v>Shawarma</v>
      </c>
      <c r="E566">
        <v>12</v>
      </c>
      <c r="F566" t="str">
        <v>Interbank</v>
      </c>
      <c r="G566" t="str">
        <v>Julio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</row>
    <row r="567">
      <c r="A567" t="str">
        <v>Egreso</v>
      </c>
      <c r="B567">
        <v>46221</v>
      </c>
      <c r="C567" t="str">
        <v>Gasto</v>
      </c>
      <c r="D567" t="str">
        <v>Makis</v>
      </c>
      <c r="E567">
        <v>74.72</v>
      </c>
      <c r="F567" t="str">
        <v>Interbank Amex</v>
      </c>
      <c r="G567" t="str">
        <v>Julio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 t="str">
        <v>Egreso</v>
      </c>
      <c r="B568">
        <v>46222</v>
      </c>
      <c r="C568" t="str">
        <v>Gasto</v>
      </c>
      <c r="D568" t="str">
        <v>Ceviche</v>
      </c>
      <c r="E568">
        <v>11</v>
      </c>
      <c r="F568" t="str">
        <v>Interbank</v>
      </c>
      <c r="G568" t="str">
        <v>Julio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 t="str">
        <v>Egreso</v>
      </c>
      <c r="B569">
        <v>46222</v>
      </c>
      <c r="C569" t="str">
        <v>Gasto</v>
      </c>
      <c r="D569" t="str">
        <v>Bus</v>
      </c>
      <c r="E569">
        <v>8</v>
      </c>
      <c r="F569" t="str">
        <v>Interbank</v>
      </c>
      <c r="G569" t="str">
        <v>Julio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 t="str">
        <v>Egreso</v>
      </c>
      <c r="B570">
        <v>46222</v>
      </c>
      <c r="C570" t="str">
        <v>Gasto</v>
      </c>
      <c r="D570" t="str">
        <v>In Game</v>
      </c>
      <c r="E570">
        <v>14</v>
      </c>
      <c r="F570" t="str">
        <v>BBVA Bfree</v>
      </c>
      <c r="G570" t="str">
        <v>Julio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 t="str">
        <v>Egreso</v>
      </c>
      <c r="B571">
        <v>46222</v>
      </c>
      <c r="C571" t="str">
        <v>Gasto</v>
      </c>
      <c r="D571" t="str">
        <v>Broaster</v>
      </c>
      <c r="E571">
        <v>30</v>
      </c>
      <c r="F571" t="str">
        <v>BBVA Bfree</v>
      </c>
      <c r="G571" t="str">
        <v>Julio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>Egreso</v>
      </c>
      <c r="B572">
        <v>46223</v>
      </c>
      <c r="C572" t="str">
        <v>Gasto</v>
      </c>
      <c r="D572" t="str">
        <v>Bus</v>
      </c>
      <c r="E572">
        <v>9.5</v>
      </c>
      <c r="F572" t="str">
        <v>Interbank</v>
      </c>
      <c r="G572" t="str">
        <v>Julio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Egreso</v>
      </c>
      <c r="B573">
        <v>46223</v>
      </c>
      <c r="C573" t="str">
        <v>Gasto</v>
      </c>
      <c r="D573" t="str">
        <v>Minecraft</v>
      </c>
      <c r="E573">
        <v>3.5</v>
      </c>
      <c r="F573" t="str">
        <v>Interbank</v>
      </c>
      <c r="G573" t="str">
        <v>Julio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 t="str">
        <v>Egreso</v>
      </c>
      <c r="B574">
        <v>46223</v>
      </c>
      <c r="C574" t="str">
        <v>Servicio</v>
      </c>
      <c r="D574" t="str">
        <v>Telefonia Movil</v>
      </c>
      <c r="E574">
        <v>39.9</v>
      </c>
      <c r="F574" t="str">
        <v>Interbank Amex</v>
      </c>
      <c r="G574" t="str">
        <v>Julio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 t="str">
        <v>Egreso</v>
      </c>
      <c r="B575">
        <v>46223</v>
      </c>
      <c r="C575" t="str">
        <v>Otro Egre</v>
      </c>
      <c r="D575" t="str">
        <v>Carol</v>
      </c>
      <c r="E575">
        <v>37</v>
      </c>
      <c r="F575" t="str">
        <v>BBVA Bfree</v>
      </c>
      <c r="G575" t="str">
        <v>Julio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</row>
    <row r="576">
      <c r="A576" t="str">
        <v>Egreso</v>
      </c>
      <c r="B576">
        <v>46223</v>
      </c>
      <c r="C576" t="str">
        <v>Gasto</v>
      </c>
      <c r="D576" t="str">
        <v>Broaster</v>
      </c>
      <c r="E576">
        <v>9.97</v>
      </c>
      <c r="F576" t="str">
        <v>Interbank</v>
      </c>
      <c r="G576" t="str">
        <v>Julio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 t="str">
        <v>Egreso</v>
      </c>
      <c r="B577">
        <v>46226</v>
      </c>
      <c r="C577" t="str">
        <v>Servicio</v>
      </c>
      <c r="D577" t="str">
        <v>iCloud</v>
      </c>
      <c r="E577">
        <v>14.69</v>
      </c>
      <c r="F577" t="str">
        <v>Interbank</v>
      </c>
      <c r="G577" t="str">
        <v>Julio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</row>
    <row r="578">
      <c r="A578" t="str">
        <v>Egreso</v>
      </c>
      <c r="B578">
        <v>46226</v>
      </c>
      <c r="C578" t="str">
        <v>Gasto</v>
      </c>
      <c r="D578" t="str">
        <v>Taxi</v>
      </c>
      <c r="E578">
        <v>18.9</v>
      </c>
      <c r="F578" t="str">
        <v>Interbank</v>
      </c>
      <c r="G578" t="str">
        <v>Julio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 t="str">
        <v>Egreso</v>
      </c>
      <c r="B579">
        <v>46226</v>
      </c>
      <c r="C579" t="str">
        <v>Gasto</v>
      </c>
      <c r="D579" t="str">
        <v>Agua Mineral</v>
      </c>
      <c r="E579">
        <v>1.8</v>
      </c>
      <c r="F579" t="str">
        <v>Interbank</v>
      </c>
      <c r="G579" t="str">
        <v>Julio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 t="str">
        <v>Egreso</v>
      </c>
      <c r="B580">
        <v>46226</v>
      </c>
      <c r="C580" t="str">
        <v>Otro Egre</v>
      </c>
      <c r="D580" t="str">
        <v>Carol</v>
      </c>
      <c r="E580">
        <v>6</v>
      </c>
      <c r="F580" t="str">
        <v>Interbank</v>
      </c>
      <c r="G580" t="str">
        <v>Julio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>Egreso</v>
      </c>
      <c r="B581">
        <v>46226</v>
      </c>
      <c r="C581" t="str">
        <v>Gasto</v>
      </c>
      <c r="D581" t="str">
        <v>Makis</v>
      </c>
      <c r="E581">
        <v>108</v>
      </c>
      <c r="F581" t="str">
        <v>Interbank Amex</v>
      </c>
      <c r="G581" t="str">
        <v>Julio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>Egreso</v>
      </c>
      <c r="B582">
        <v>46226</v>
      </c>
      <c r="C582" t="str">
        <v>Otro Egre</v>
      </c>
      <c r="D582" t="str">
        <v>Carol</v>
      </c>
      <c r="E582">
        <v>9</v>
      </c>
      <c r="F582" t="str">
        <v>Interbank Amex</v>
      </c>
      <c r="G582" t="str">
        <v>Julio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>Egreso</v>
      </c>
      <c r="B583">
        <v>46227</v>
      </c>
      <c r="C583" t="str">
        <v>Gasto</v>
      </c>
      <c r="D583" t="str">
        <v>Gaseosa</v>
      </c>
      <c r="E583">
        <v>3.5</v>
      </c>
      <c r="F583" t="str">
        <v>Interbank</v>
      </c>
      <c r="G583" t="str">
        <v>Julio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>Egreso</v>
      </c>
      <c r="B584">
        <v>46227</v>
      </c>
      <c r="C584" t="str">
        <v>Gasto</v>
      </c>
      <c r="D584" t="str">
        <v>Futbol</v>
      </c>
      <c r="E584">
        <v>10</v>
      </c>
      <c r="F584" t="str">
        <v>Interbank</v>
      </c>
      <c r="G584" t="str">
        <v>Julio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 t="str">
        <v>Egreso</v>
      </c>
      <c r="B585">
        <v>46228</v>
      </c>
      <c r="C585" t="str">
        <v>Gasto</v>
      </c>
      <c r="D585" t="str">
        <v>Taxi</v>
      </c>
      <c r="E585">
        <v>11.9</v>
      </c>
      <c r="F585" t="str">
        <v>Interbank</v>
      </c>
      <c r="G585" t="str">
        <v>Julio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</row>
    <row r="586">
      <c r="A586" t="str">
        <v>Egreso</v>
      </c>
      <c r="B586">
        <v>46228</v>
      </c>
      <c r="C586" t="str">
        <v>Gasto</v>
      </c>
      <c r="D586" t="str">
        <v>Taxi</v>
      </c>
      <c r="E586">
        <v>12.1</v>
      </c>
      <c r="F586" t="str">
        <v>Interbank</v>
      </c>
      <c r="G586" t="str">
        <v>Julio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>Egreso</v>
      </c>
      <c r="B587">
        <v>46228</v>
      </c>
      <c r="C587" t="str">
        <v>Gasto</v>
      </c>
      <c r="D587" t="str">
        <v>Pollo a la Brasa</v>
      </c>
      <c r="E587">
        <v>34.5</v>
      </c>
      <c r="F587" t="str">
        <v>Interbank Amex</v>
      </c>
      <c r="G587" t="str">
        <v>Julio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>Egreso</v>
      </c>
      <c r="B588">
        <v>46229</v>
      </c>
      <c r="C588" t="str">
        <v>Gasto</v>
      </c>
      <c r="D588" t="str">
        <v>Skin de Valorant</v>
      </c>
      <c r="E588">
        <v>31.9</v>
      </c>
      <c r="F588" t="str">
        <v>Interbank Amex</v>
      </c>
      <c r="G588" t="str">
        <v>Julio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>Egreso</v>
      </c>
      <c r="B589">
        <v>46229</v>
      </c>
      <c r="C589" t="str">
        <v>Gasto</v>
      </c>
      <c r="D589" t="str">
        <v>Broaster</v>
      </c>
      <c r="E589">
        <v>11</v>
      </c>
      <c r="F589" t="str">
        <v>Interbank</v>
      </c>
      <c r="G589" t="str">
        <v>Julio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 t="str">
        <v>Egreso</v>
      </c>
      <c r="B590">
        <v>46230</v>
      </c>
      <c r="C590" t="str">
        <v>Gasto</v>
      </c>
      <c r="D590" t="str">
        <v>Bus</v>
      </c>
      <c r="E590">
        <v>2</v>
      </c>
      <c r="F590" t="str">
        <v>Interbank</v>
      </c>
      <c r="G590" t="str">
        <v>Julio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</row>
    <row r="591">
      <c r="A591" t="str">
        <v>Egreso</v>
      </c>
      <c r="B591">
        <v>46230</v>
      </c>
      <c r="C591" t="str">
        <v>Gasto</v>
      </c>
      <c r="D591" t="str">
        <v>Dulce de Leche</v>
      </c>
      <c r="E591">
        <v>6</v>
      </c>
      <c r="F591" t="str">
        <v>Interbank</v>
      </c>
      <c r="G591" t="str">
        <v>Julio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>
      <c r="A592" t="str">
        <v>Ingreso</v>
      </c>
      <c r="B592">
        <v>46235</v>
      </c>
      <c r="C592" t="str">
        <v>Otro Ing</v>
      </c>
      <c r="D592" t="str">
        <v>Bonificación Ahorro</v>
      </c>
      <c r="E592">
        <v>795.410000000001</v>
      </c>
      <c r="F592" t="str">
        <v>Interbank</v>
      </c>
      <c r="G592" t="str">
        <v>Agosto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</row>
    <row r="593">
      <c r="A593" t="str">
        <v>Ingreso</v>
      </c>
      <c r="B593">
        <v>46235</v>
      </c>
      <c r="C593" t="str">
        <v>Sueldo</v>
      </c>
      <c r="D593" t="str">
        <v>Sueldo</v>
      </c>
      <c r="E593">
        <v>2259.63</v>
      </c>
      <c r="F593" t="str">
        <v>Interbank</v>
      </c>
      <c r="G593" t="str">
        <v>Agosto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</row>
    <row r="594">
      <c r="A594" t="str">
        <v>Ingreso</v>
      </c>
      <c r="B594">
        <v>46235</v>
      </c>
      <c r="C594" t="str">
        <v>Tarjeta</v>
      </c>
      <c r="D594" t="str">
        <v>Linea Tarjeta</v>
      </c>
      <c r="E594">
        <v>819.05</v>
      </c>
      <c r="F594" t="str">
        <v>Interbank Amex</v>
      </c>
      <c r="G594" t="str">
        <v>Agosto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</row>
    <row r="595">
      <c r="A595" t="str">
        <v>Ingreso</v>
      </c>
      <c r="B595">
        <v>46235</v>
      </c>
      <c r="C595" t="str">
        <v>Tarjeta</v>
      </c>
      <c r="D595" t="str">
        <v>Linea Tarjeta</v>
      </c>
      <c r="E595">
        <v>308.67</v>
      </c>
      <c r="F595" t="str">
        <v>BBVA Bfree</v>
      </c>
      <c r="G595" t="str">
        <v>Agosto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</row>
    <row r="596">
      <c r="A596" t="str">
        <v>Ingreso</v>
      </c>
      <c r="B596">
        <v>46235</v>
      </c>
      <c r="C596" t="str">
        <v>Tarjeta</v>
      </c>
      <c r="D596" t="str">
        <v>Linea Tarjeta</v>
      </c>
      <c r="E596">
        <v>835.14</v>
      </c>
      <c r="F596" t="str">
        <v>Ripley</v>
      </c>
      <c r="G596" t="str">
        <v>Agosto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</row>
    <row r="597">
      <c r="A597" t="str">
        <v>Egreso</v>
      </c>
      <c r="B597">
        <v>46235</v>
      </c>
      <c r="C597" t="str">
        <v>Servicio</v>
      </c>
      <c r="D597" t="str">
        <v>Corte de Cabello</v>
      </c>
      <c r="E597">
        <v>20</v>
      </c>
      <c r="F597" t="str">
        <v>Interbank</v>
      </c>
      <c r="G597" t="str">
        <v>Agosto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>
      <c r="A598" t="str">
        <v>Egreso</v>
      </c>
      <c r="B598">
        <v>46235</v>
      </c>
      <c r="C598" t="str">
        <v>Deuda</v>
      </c>
      <c r="D598" t="str">
        <v>iPhone 16</v>
      </c>
      <c r="E598">
        <v>245.75</v>
      </c>
      <c r="F598" t="str">
        <v>Interbank</v>
      </c>
      <c r="G598" t="str">
        <v>Agosto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>
      <c r="A599" t="str">
        <v>Egreso</v>
      </c>
      <c r="B599">
        <v>46235</v>
      </c>
      <c r="C599" t="str">
        <v>Servicio</v>
      </c>
      <c r="D599" t="str">
        <v>Pago de Tarjeta Ripley</v>
      </c>
      <c r="E599">
        <v>827.76</v>
      </c>
      <c r="F599" t="str">
        <v>Interbank</v>
      </c>
      <c r="G599" t="str">
        <v>Agosto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</row>
    <row r="600">
      <c r="A600" t="str">
        <v>Egreso</v>
      </c>
      <c r="B600">
        <v>46235</v>
      </c>
      <c r="C600" t="str">
        <v>Deuda</v>
      </c>
      <c r="D600" t="str">
        <v>Prestamo Yape</v>
      </c>
      <c r="E600">
        <v>116.85</v>
      </c>
      <c r="F600" t="str">
        <v>Interbank</v>
      </c>
      <c r="G600" t="str">
        <v>Agosto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</row>
    <row r="601">
      <c r="A601" t="str">
        <v>Egreso</v>
      </c>
      <c r="B601">
        <v>46235</v>
      </c>
      <c r="C601" t="str">
        <v>Servicio</v>
      </c>
      <c r="D601" t="str">
        <v>Agua + Mantenimiento</v>
      </c>
      <c r="E601">
        <v>160</v>
      </c>
      <c r="F601" t="str">
        <v>Interbank</v>
      </c>
      <c r="G601" t="str">
        <v>Agosto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</row>
    <row r="602">
      <c r="A602" t="str">
        <v>Egreso</v>
      </c>
      <c r="B602">
        <v>46235</v>
      </c>
      <c r="C602" t="str">
        <v>Servicio</v>
      </c>
      <c r="D602" t="str">
        <v>Pago de Tarjeta Interbank Amex</v>
      </c>
      <c r="E602">
        <v>731.69</v>
      </c>
      <c r="F602" t="str">
        <v>Interbank</v>
      </c>
      <c r="G602" t="str">
        <v>Agosto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>
      <c r="A603" t="str">
        <v>Egreso</v>
      </c>
      <c r="B603">
        <v>46235</v>
      </c>
      <c r="C603" t="str">
        <v>Servicio</v>
      </c>
      <c r="D603" t="str">
        <v>Pago de Tarjeta BBVA Bfree</v>
      </c>
      <c r="E603">
        <v>60.27</v>
      </c>
      <c r="F603" t="str">
        <v>Interbank</v>
      </c>
      <c r="G603" t="str">
        <v>Agosto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</row>
    <row r="604">
      <c r="A604" t="str">
        <v>Egreso</v>
      </c>
      <c r="B604">
        <v>46235</v>
      </c>
      <c r="C604" t="str">
        <v>Otro Egre</v>
      </c>
      <c r="D604" t="str">
        <v>Carol</v>
      </c>
      <c r="E604">
        <v>21</v>
      </c>
      <c r="F604" t="str">
        <v>Interbank Amex</v>
      </c>
      <c r="G604" t="str">
        <v>Agosto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>
      <c r="A605" t="str">
        <v>Egreso</v>
      </c>
      <c r="B605">
        <v>46235</v>
      </c>
      <c r="C605" t="str">
        <v>Otro Egre</v>
      </c>
      <c r="D605" t="str">
        <v>Carol</v>
      </c>
      <c r="E605">
        <v>14</v>
      </c>
      <c r="F605" t="str">
        <v>Interbank Amex</v>
      </c>
      <c r="G605" t="str">
        <v>Agosto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</row>
    <row r="606">
      <c r="A606" t="str">
        <v>Egreso</v>
      </c>
      <c r="B606">
        <v>46235</v>
      </c>
      <c r="C606" t="str">
        <v>Otro Egre</v>
      </c>
      <c r="D606" t="str">
        <v>Carol</v>
      </c>
      <c r="E606">
        <v>20</v>
      </c>
      <c r="F606" t="str">
        <v>Interbank Amex</v>
      </c>
      <c r="G606" t="str">
        <v>Agosto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</row>
    <row r="607">
      <c r="A607" t="str">
        <v>Egreso</v>
      </c>
      <c r="B607">
        <v>46235</v>
      </c>
      <c r="C607" t="str">
        <v>Otro Egre</v>
      </c>
      <c r="D607" t="str">
        <v>Carol</v>
      </c>
      <c r="E607">
        <v>53</v>
      </c>
      <c r="F607" t="str">
        <v>Interbank Amex</v>
      </c>
      <c r="G607" t="str">
        <v>Agosto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>Egreso</v>
      </c>
      <c r="B608">
        <v>46235</v>
      </c>
      <c r="C608" t="str">
        <v>Otro Egre</v>
      </c>
      <c r="D608" t="str">
        <v>Carol</v>
      </c>
      <c r="E608">
        <v>20</v>
      </c>
      <c r="F608" t="str">
        <v>Interbank</v>
      </c>
      <c r="G608" t="str">
        <v>Agosto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</row>
    <row r="609">
      <c r="A609" t="str">
        <v>Egreso</v>
      </c>
      <c r="B609">
        <v>46235</v>
      </c>
      <c r="C609" t="str">
        <v>Gasto</v>
      </c>
      <c r="D609" t="str">
        <v>Taxi</v>
      </c>
      <c r="E609">
        <v>14</v>
      </c>
      <c r="F609" t="str">
        <v>Interbank</v>
      </c>
      <c r="G609" t="str">
        <v>Agosto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</row>
    <row r="610">
      <c r="A610" t="str">
        <v>Egreso</v>
      </c>
      <c r="B610">
        <v>46235</v>
      </c>
      <c r="C610" t="str">
        <v>Gasto</v>
      </c>
      <c r="D610" t="str">
        <v>Detergente</v>
      </c>
      <c r="E610">
        <v>1.07</v>
      </c>
      <c r="F610" t="str">
        <v>Interbank</v>
      </c>
      <c r="G610" t="str">
        <v>Agosto</v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</row>
    <row r="611">
      <c r="A611" t="str">
        <v>Egreso</v>
      </c>
      <c r="B611">
        <v>46235</v>
      </c>
      <c r="C611" t="str">
        <v>Gasto</v>
      </c>
      <c r="D611" t="str">
        <v>Papel Higiénico</v>
      </c>
      <c r="E611">
        <v>1.07</v>
      </c>
      <c r="F611" t="str">
        <v>Interbank</v>
      </c>
      <c r="G611" t="str">
        <v>Agosto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</row>
    <row r="612">
      <c r="A612" t="str">
        <v>Egreso</v>
      </c>
      <c r="B612">
        <v>46235</v>
      </c>
      <c r="C612" t="str">
        <v>Gasto</v>
      </c>
      <c r="D612" t="str">
        <v>Pasta Dental</v>
      </c>
      <c r="E612">
        <v>1.06</v>
      </c>
      <c r="F612" t="str">
        <v>Interbank</v>
      </c>
      <c r="G612" t="str">
        <v>Agosto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</row>
    <row r="613">
      <c r="A613" t="str">
        <v>Egreso</v>
      </c>
      <c r="B613">
        <v>46235</v>
      </c>
      <c r="C613" t="str">
        <v>Servicio</v>
      </c>
      <c r="D613" t="str">
        <v>Internet</v>
      </c>
      <c r="E613">
        <v>78.48</v>
      </c>
      <c r="F613" t="str">
        <v>BBVA Bfree</v>
      </c>
      <c r="G613" t="str">
        <v>Agosto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</row>
    <row r="614">
      <c r="A614" t="str">
        <v>Egreso</v>
      </c>
      <c r="B614">
        <v>46235</v>
      </c>
      <c r="C614" t="str">
        <v>Gasto</v>
      </c>
      <c r="D614" t="str">
        <v>Bus</v>
      </c>
      <c r="E614">
        <v>8</v>
      </c>
      <c r="F614" t="str">
        <v>Interbank</v>
      </c>
      <c r="G614" t="str">
        <v>Agosto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</row>
    <row r="615">
      <c r="A615" t="str">
        <v>Egreso</v>
      </c>
      <c r="B615">
        <v>46235</v>
      </c>
      <c r="C615" t="str">
        <v>Gasto</v>
      </c>
      <c r="D615" t="str">
        <v>Perfume Invictus</v>
      </c>
      <c r="E615">
        <v>40</v>
      </c>
      <c r="F615" t="str">
        <v>Interbank</v>
      </c>
      <c r="G615" t="str">
        <v>Agosto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</row>
    <row r="616">
      <c r="A616" t="str">
        <v>Egreso</v>
      </c>
      <c r="B616">
        <v>46235</v>
      </c>
      <c r="C616" t="str">
        <v>Otro Egre</v>
      </c>
      <c r="D616" t="str">
        <v>Carol</v>
      </c>
      <c r="E616">
        <v>41</v>
      </c>
      <c r="F616" t="str">
        <v>Interbank Amex</v>
      </c>
      <c r="G616" t="str">
        <v>Agosto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</row>
    <row r="617">
      <c r="A617" t="str">
        <v>Egreso</v>
      </c>
      <c r="B617">
        <v>46235</v>
      </c>
      <c r="C617" t="str">
        <v>Gasto</v>
      </c>
      <c r="D617" t="str">
        <v>Café</v>
      </c>
      <c r="E617">
        <v>20</v>
      </c>
      <c r="F617" t="str">
        <v>Interbank Amex</v>
      </c>
      <c r="G617" t="str">
        <v>Agosto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</row>
    <row r="618">
      <c r="A618" t="str">
        <v>Egreso</v>
      </c>
      <c r="B618">
        <v>46235</v>
      </c>
      <c r="C618" t="str">
        <v>Servicio</v>
      </c>
      <c r="D618" t="str">
        <v>Gas</v>
      </c>
      <c r="E618">
        <v>43.5</v>
      </c>
      <c r="F618" t="str">
        <v>BBVA Bfree</v>
      </c>
      <c r="G618" t="str">
        <v>Agosto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</row>
    <row r="619">
      <c r="A619" t="str">
        <v>Egreso</v>
      </c>
      <c r="B619">
        <v>46235</v>
      </c>
      <c r="C619" t="str">
        <v>Otro Egre</v>
      </c>
      <c r="D619" t="str">
        <v>Carol</v>
      </c>
      <c r="E619">
        <v>5.9</v>
      </c>
      <c r="F619" t="str">
        <v>Interbank Amex</v>
      </c>
      <c r="G619" t="str">
        <v>Agosto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</row>
    <row r="620">
      <c r="A620" t="str">
        <v>Egreso</v>
      </c>
      <c r="B620">
        <v>46235</v>
      </c>
      <c r="C620" t="str">
        <v>Gasto</v>
      </c>
      <c r="D620" t="str">
        <v>Gaseosa</v>
      </c>
      <c r="E620">
        <v>18.2</v>
      </c>
      <c r="F620" t="str">
        <v>Interbank Amex</v>
      </c>
      <c r="G620" t="str">
        <v>Agosto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>
      <c r="A621" t="str">
        <v>Egreso</v>
      </c>
      <c r="B621">
        <v>46235</v>
      </c>
      <c r="C621" t="str">
        <v>Gasto</v>
      </c>
      <c r="D621" t="str">
        <v>Mayonesa</v>
      </c>
      <c r="E621">
        <v>9.9</v>
      </c>
      <c r="F621" t="str">
        <v>Interbank Amex</v>
      </c>
      <c r="G621" t="str">
        <v>Agosto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 t="str">
        <v>Egreso</v>
      </c>
      <c r="B622">
        <v>46235</v>
      </c>
      <c r="C622" t="str">
        <v>Gasto</v>
      </c>
      <c r="D622" t="str">
        <v>Poster de Spiderman</v>
      </c>
      <c r="E622">
        <v>10</v>
      </c>
      <c r="F622" t="str">
        <v>Interbank</v>
      </c>
      <c r="G622" t="str">
        <v>Agosto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>
      <c r="A623" t="str">
        <v>Egreso</v>
      </c>
      <c r="B623">
        <v>46235</v>
      </c>
      <c r="C623" t="str">
        <v>Gasto</v>
      </c>
      <c r="D623" t="str">
        <v>Taxi</v>
      </c>
      <c r="E623">
        <v>12</v>
      </c>
      <c r="F623" t="str">
        <v>Interbank</v>
      </c>
      <c r="G623" t="str">
        <v>Agosto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 t="str">
        <v>Egreso</v>
      </c>
      <c r="B624">
        <v>46235</v>
      </c>
      <c r="C624" t="str">
        <v>Servicio</v>
      </c>
      <c r="D624" t="str">
        <v>Desvagramen</v>
      </c>
      <c r="E624">
        <v>2.45</v>
      </c>
      <c r="F624" t="str">
        <v>Interbank Amex</v>
      </c>
      <c r="G624" t="str">
        <v>Agosto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</row>
    <row r="625">
      <c r="A625" t="str">
        <v>Egreso</v>
      </c>
      <c r="B625">
        <v>46235</v>
      </c>
      <c r="C625" t="str">
        <v>Gasto</v>
      </c>
      <c r="D625" t="str">
        <v>Futbol</v>
      </c>
      <c r="E625">
        <v>9</v>
      </c>
      <c r="F625" t="str">
        <v>Interbank</v>
      </c>
      <c r="G625" t="str">
        <v>Agosto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</row>
    <row r="626">
      <c r="A626" t="str">
        <v>Egreso</v>
      </c>
      <c r="B626">
        <v>46235</v>
      </c>
      <c r="C626" t="str">
        <v>Servicio</v>
      </c>
      <c r="D626" t="str">
        <v>Desvagramen</v>
      </c>
      <c r="E626">
        <v>35.8</v>
      </c>
      <c r="F626" t="str">
        <v>Ripley</v>
      </c>
      <c r="G626" t="str">
        <v>Agosto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</row>
    <row r="627">
      <c r="A627" t="str">
        <v>Egreso</v>
      </c>
      <c r="B627">
        <v>46235</v>
      </c>
      <c r="C627" t="str">
        <v>Servicio</v>
      </c>
      <c r="D627" t="str">
        <v>Spotify</v>
      </c>
      <c r="E627">
        <v>11.9</v>
      </c>
      <c r="F627" t="str">
        <v>Interbank Amex</v>
      </c>
      <c r="G627" t="str">
        <v>Agosto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</row>
    <row r="628">
      <c r="A628" t="str">
        <v>Egreso</v>
      </c>
      <c r="B628">
        <v>46235</v>
      </c>
      <c r="C628" t="str">
        <v>Gasto</v>
      </c>
      <c r="D628" t="str">
        <v>Futbol</v>
      </c>
      <c r="E628">
        <v>23</v>
      </c>
      <c r="F628" t="str">
        <v>Interbank</v>
      </c>
      <c r="G628" t="str">
        <v>Agosto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</row>
    <row r="629">
      <c r="A629" t="str">
        <v>Egreso</v>
      </c>
      <c r="B629">
        <v>46235</v>
      </c>
      <c r="C629" t="str">
        <v>Gasto</v>
      </c>
      <c r="D629" t="str">
        <v>Apuestas</v>
      </c>
      <c r="E629">
        <v>27</v>
      </c>
      <c r="F629" t="str">
        <v>Interbank</v>
      </c>
      <c r="G629" t="str">
        <v>Agosto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</row>
    <row r="630">
      <c r="A630" t="str">
        <v>Egreso</v>
      </c>
      <c r="B630">
        <v>46236</v>
      </c>
      <c r="C630" t="str">
        <v>Gasto</v>
      </c>
      <c r="D630" t="str">
        <v>Taxi</v>
      </c>
      <c r="E630">
        <v>14.5</v>
      </c>
      <c r="F630" t="str">
        <v>Interbank</v>
      </c>
      <c r="G630" t="str">
        <v>Agosto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 t="str">
        <v>Egreso</v>
      </c>
      <c r="B631">
        <v>46236</v>
      </c>
      <c r="C631" t="str">
        <v>Gasto</v>
      </c>
      <c r="D631" t="str">
        <v>Detergente</v>
      </c>
      <c r="E631">
        <v>11.83</v>
      </c>
      <c r="F631" t="str">
        <v>Interbank Amex</v>
      </c>
      <c r="G631" t="str">
        <v>Agosto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</row>
    <row r="632">
      <c r="A632" t="str">
        <v>Egreso</v>
      </c>
      <c r="B632">
        <v>46236</v>
      </c>
      <c r="C632" t="str">
        <v>Gasto</v>
      </c>
      <c r="D632" t="str">
        <v>Papel Higiénico</v>
      </c>
      <c r="E632">
        <v>11.83</v>
      </c>
      <c r="F632" t="str">
        <v>Interbank Amex</v>
      </c>
      <c r="G632" t="str">
        <v>Agosto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 t="str">
        <v>Egreso</v>
      </c>
      <c r="B633">
        <v>46236</v>
      </c>
      <c r="C633" t="str">
        <v>Gasto</v>
      </c>
      <c r="D633" t="str">
        <v>Pasta Dental</v>
      </c>
      <c r="E633">
        <v>11.84</v>
      </c>
      <c r="F633" t="str">
        <v>Interbank Amex</v>
      </c>
      <c r="G633" t="str">
        <v>Agosto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 t="str">
        <v>Egreso</v>
      </c>
      <c r="B634">
        <v>46236</v>
      </c>
      <c r="C634" t="str">
        <v>Otro Egre</v>
      </c>
      <c r="D634" t="str">
        <v>Carol</v>
      </c>
      <c r="E634">
        <v>36.7</v>
      </c>
      <c r="F634" t="str">
        <v>Interbank Amex</v>
      </c>
      <c r="G634" t="str">
        <v>Agosto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 t="str">
        <v>Egreso</v>
      </c>
      <c r="B635">
        <v>46236</v>
      </c>
      <c r="C635" t="str">
        <v>Otro Egre</v>
      </c>
      <c r="D635" t="str">
        <v>Carol</v>
      </c>
      <c r="E635">
        <v>25</v>
      </c>
      <c r="F635" t="str">
        <v>Interbank</v>
      </c>
      <c r="G635" t="str">
        <v>Agosto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 t="str">
        <v>Egreso</v>
      </c>
      <c r="B636">
        <v>46236</v>
      </c>
      <c r="C636" t="str">
        <v>Gasto</v>
      </c>
      <c r="D636" t="str">
        <v>Gaseosa</v>
      </c>
      <c r="E636">
        <v>7.5</v>
      </c>
      <c r="F636" t="str">
        <v>Interbank</v>
      </c>
      <c r="G636" t="str">
        <v>Agosto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>
      <c r="A637" t="str">
        <v>Egreso</v>
      </c>
      <c r="B637">
        <v>46236</v>
      </c>
      <c r="C637" t="str">
        <v>Gasto</v>
      </c>
      <c r="D637" t="str">
        <v>Bus</v>
      </c>
      <c r="E637">
        <v>7</v>
      </c>
      <c r="F637" t="str">
        <v>Interbank</v>
      </c>
      <c r="G637" t="str">
        <v>Agosto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</row>
    <row r="638">
      <c r="A638" t="str">
        <v>Egreso</v>
      </c>
      <c r="B638">
        <v>46237</v>
      </c>
      <c r="C638" t="str">
        <v>Gasto</v>
      </c>
      <c r="D638" t="str">
        <v>Ceviche</v>
      </c>
      <c r="E638">
        <v>6</v>
      </c>
      <c r="F638" t="str">
        <v>Interbank</v>
      </c>
      <c r="G638" t="str">
        <v>Agosto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 t="str">
        <v>Egreso</v>
      </c>
      <c r="B639">
        <v>46237</v>
      </c>
      <c r="C639" t="str">
        <v>Otro Egre</v>
      </c>
      <c r="D639" t="str">
        <v>Carol</v>
      </c>
      <c r="E639">
        <v>43</v>
      </c>
      <c r="F639" t="str">
        <v>Interbank Amex</v>
      </c>
      <c r="G639" t="str">
        <v>Agosto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 t="str">
        <v>Egreso</v>
      </c>
      <c r="B640">
        <v>46237</v>
      </c>
      <c r="C640" t="str">
        <v>Gasto</v>
      </c>
      <c r="D640" t="str">
        <v>Taxi</v>
      </c>
      <c r="E640">
        <v>25.5</v>
      </c>
      <c r="F640" t="str">
        <v>Interbank</v>
      </c>
      <c r="G640" t="str">
        <v>Agosto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</row>
    <row r="641">
      <c r="A641" t="str">
        <v>Egreso</v>
      </c>
      <c r="B641">
        <v>46238</v>
      </c>
      <c r="C641" t="str">
        <v>Gasto</v>
      </c>
      <c r="D641" t="str">
        <v>Bus</v>
      </c>
      <c r="E641">
        <v>4</v>
      </c>
      <c r="F641" t="str">
        <v>Interbank</v>
      </c>
      <c r="G641" t="str">
        <v>Agosto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</row>
    <row r="642">
      <c r="A642" t="str">
        <v>Egreso</v>
      </c>
      <c r="B642">
        <v>46238</v>
      </c>
      <c r="C642" t="str">
        <v>Gasto</v>
      </c>
      <c r="D642" t="str">
        <v>Broaster</v>
      </c>
      <c r="E642">
        <v>18</v>
      </c>
      <c r="F642" t="str">
        <v>Interbank</v>
      </c>
      <c r="G642" t="str">
        <v>Agosto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</row>
    <row r="643">
      <c r="A643" t="str">
        <v>Egreso</v>
      </c>
      <c r="B643">
        <v>46239</v>
      </c>
      <c r="C643" t="str">
        <v>Gasto</v>
      </c>
      <c r="D643" t="str">
        <v>Taxi</v>
      </c>
      <c r="E643">
        <v>19.5</v>
      </c>
      <c r="F643" t="str">
        <v>Interbank</v>
      </c>
      <c r="G643" t="str">
        <v>Agosto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</row>
    <row r="644">
      <c r="A644" t="str">
        <v>Egreso</v>
      </c>
      <c r="B644">
        <v>46239</v>
      </c>
      <c r="C644" t="str">
        <v>Otro Egre</v>
      </c>
      <c r="D644" t="str">
        <v>Carol</v>
      </c>
      <c r="E644">
        <v>15</v>
      </c>
      <c r="F644" t="str">
        <v>Interbank</v>
      </c>
      <c r="G644" t="str">
        <v>Agosto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 t="str">
        <v>Egreso</v>
      </c>
      <c r="B645">
        <v>46239</v>
      </c>
      <c r="C645" t="str">
        <v>Otro Egre</v>
      </c>
      <c r="D645" t="str">
        <v>Carol</v>
      </c>
      <c r="E645">
        <v>57.3</v>
      </c>
      <c r="F645" t="str">
        <v>Ripley</v>
      </c>
      <c r="G645" t="str">
        <v>Agosto</v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>
      <c r="A646" t="str">
        <v>Egreso</v>
      </c>
      <c r="B646">
        <v>46240</v>
      </c>
      <c r="C646" t="str">
        <v>Gasto</v>
      </c>
      <c r="D646" t="str">
        <v>Taxi</v>
      </c>
      <c r="E646">
        <v>12</v>
      </c>
      <c r="F646" t="str">
        <v>Interbank</v>
      </c>
      <c r="G646" t="str">
        <v>Agosto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</row>
    <row r="647">
      <c r="A647" t="str">
        <v>Egreso</v>
      </c>
      <c r="B647">
        <v>46240</v>
      </c>
      <c r="C647" t="str">
        <v>Gasto</v>
      </c>
      <c r="D647" t="str">
        <v>Ceviche</v>
      </c>
      <c r="E647">
        <v>6</v>
      </c>
      <c r="F647" t="str">
        <v>Interbank</v>
      </c>
      <c r="G647" t="str">
        <v>Agosto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</row>
    <row r="648">
      <c r="A648" t="str">
        <v>Egreso</v>
      </c>
      <c r="B648">
        <v>46241</v>
      </c>
      <c r="C648" t="str">
        <v>Servicio</v>
      </c>
      <c r="D648" t="str">
        <v>Desvagramen</v>
      </c>
      <c r="E648">
        <v>16.9</v>
      </c>
      <c r="F648" t="str">
        <v>Ripley</v>
      </c>
      <c r="G648" t="str">
        <v>Agosto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>
      <c r="A649" t="str">
        <v>Egreso</v>
      </c>
      <c r="B649">
        <v>46241</v>
      </c>
      <c r="C649" t="str">
        <v>Gasto</v>
      </c>
      <c r="D649" t="str">
        <v>Futbol</v>
      </c>
      <c r="E649">
        <v>11</v>
      </c>
      <c r="F649" t="str">
        <v>Interbank</v>
      </c>
      <c r="G649" t="str">
        <v>Agosto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</row>
    <row r="650">
      <c r="A650" t="str">
        <v>Egreso</v>
      </c>
      <c r="B650">
        <v>46242</v>
      </c>
      <c r="C650" t="str">
        <v>Gasto</v>
      </c>
      <c r="D650" t="str">
        <v>Broaster</v>
      </c>
      <c r="E650">
        <v>10</v>
      </c>
      <c r="F650" t="str">
        <v>Interbank</v>
      </c>
      <c r="G650" t="str">
        <v>Agosto</v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</row>
    <row r="651">
      <c r="A651" t="str">
        <v>Egreso</v>
      </c>
      <c r="B651">
        <v>46242</v>
      </c>
      <c r="C651" t="str">
        <v>Gasto</v>
      </c>
      <c r="D651" t="str">
        <v>Futbol</v>
      </c>
      <c r="E651">
        <v>16.5</v>
      </c>
      <c r="F651" t="str">
        <v>Interbank</v>
      </c>
      <c r="G651" t="str">
        <v>Agosto</v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>
      <c r="A652" t="str">
        <v>Egreso</v>
      </c>
      <c r="B652">
        <v>46243</v>
      </c>
      <c r="C652" t="str">
        <v>Otro Egre</v>
      </c>
      <c r="D652" t="str">
        <v>Carol</v>
      </c>
      <c r="E652">
        <v>40</v>
      </c>
      <c r="F652" t="str">
        <v>Interbank</v>
      </c>
      <c r="G652" t="str">
        <v>Agosto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</row>
    <row r="653">
      <c r="A653" t="str">
        <v>Egreso</v>
      </c>
      <c r="B653">
        <v>46243</v>
      </c>
      <c r="C653" t="str">
        <v>Gasto</v>
      </c>
      <c r="D653" t="str">
        <v>Taxi</v>
      </c>
      <c r="E653">
        <v>23</v>
      </c>
      <c r="F653" t="str">
        <v>Interbank</v>
      </c>
      <c r="G653" t="str">
        <v>Agosto</v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>Egreso</v>
      </c>
      <c r="B654">
        <v>46243</v>
      </c>
      <c r="C654" t="str">
        <v>Otro Egre</v>
      </c>
      <c r="D654" t="str">
        <v>Carol</v>
      </c>
      <c r="E654">
        <v>19</v>
      </c>
      <c r="F654" t="str">
        <v>Interbank Amex</v>
      </c>
      <c r="G654" t="str">
        <v>Agosto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 t="str">
        <v>Egreso</v>
      </c>
      <c r="B655">
        <v>46243</v>
      </c>
      <c r="C655" t="str">
        <v>Gasto</v>
      </c>
      <c r="D655" t="str">
        <v>Chifa</v>
      </c>
      <c r="E655">
        <v>64.7</v>
      </c>
      <c r="F655" t="str">
        <v>Ripley</v>
      </c>
      <c r="G655" t="str">
        <v>Agosto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 t="str">
        <v>Egreso</v>
      </c>
      <c r="B656">
        <v>46243</v>
      </c>
      <c r="C656" t="str">
        <v>Gasto</v>
      </c>
      <c r="D656" t="str">
        <v>Medicina Madre</v>
      </c>
      <c r="E656">
        <v>173.2</v>
      </c>
      <c r="F656" t="str">
        <v>Ripley</v>
      </c>
      <c r="G656" t="str">
        <v>Agosto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>Ingreso</v>
      </c>
      <c r="B657">
        <v>46243</v>
      </c>
      <c r="C657" t="str">
        <v>Otro Ing</v>
      </c>
      <c r="D657" t="str">
        <v>Madre</v>
      </c>
      <c r="E657">
        <v>70</v>
      </c>
      <c r="F657" t="str">
        <v>Interbank</v>
      </c>
      <c r="G657" t="str">
        <v>Agosto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 t="str">
        <v>Egreso</v>
      </c>
      <c r="B658">
        <v>46243</v>
      </c>
      <c r="C658" t="str">
        <v>Servicio</v>
      </c>
      <c r="D658" t="str">
        <v>Desvagramen</v>
      </c>
      <c r="E658">
        <v>21.31</v>
      </c>
      <c r="F658" t="str">
        <v>BBVA Bfree</v>
      </c>
      <c r="G658" t="str">
        <v>Agosto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>Egreso</v>
      </c>
      <c r="B659">
        <v>46244</v>
      </c>
      <c r="C659" t="str">
        <v>Gasto</v>
      </c>
      <c r="D659" t="str">
        <v>Taxi</v>
      </c>
      <c r="E659">
        <v>21</v>
      </c>
      <c r="F659" t="str">
        <v>Interbank</v>
      </c>
      <c r="G659" t="str">
        <v>Agosto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 t="str">
        <v>Egreso</v>
      </c>
      <c r="B660">
        <v>46244</v>
      </c>
      <c r="C660" t="str">
        <v>Otro Egre</v>
      </c>
      <c r="D660" t="str">
        <v>Carol</v>
      </c>
      <c r="E660">
        <v>28.5</v>
      </c>
      <c r="F660" t="str">
        <v>Interbank</v>
      </c>
      <c r="G660" t="str">
        <v>Agosto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 t="str">
        <v>Egreso</v>
      </c>
      <c r="B661">
        <v>46245</v>
      </c>
      <c r="C661" t="str">
        <v>Servicio</v>
      </c>
      <c r="D661" t="str">
        <v>Luz</v>
      </c>
      <c r="E661">
        <v>98</v>
      </c>
      <c r="F661" t="str">
        <v>BBVA Bfree</v>
      </c>
      <c r="G661" t="str">
        <v>Agosto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 t="str">
        <v>Egreso</v>
      </c>
      <c r="B662">
        <v>46245</v>
      </c>
      <c r="C662" t="str">
        <v>Servicio</v>
      </c>
      <c r="D662" t="str">
        <v>Telefonia Movil</v>
      </c>
      <c r="E662">
        <v>39.9</v>
      </c>
      <c r="F662" t="str">
        <v>BBVA Bfree</v>
      </c>
      <c r="G662" t="str">
        <v>Agosto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 t="str">
        <v>Ingreso</v>
      </c>
      <c r="B663">
        <v>46245</v>
      </c>
      <c r="C663" t="str">
        <v>Otro Ing</v>
      </c>
      <c r="D663" t="str">
        <v>Apuestas</v>
      </c>
      <c r="E663">
        <v>50</v>
      </c>
      <c r="F663" t="str">
        <v>Interbank</v>
      </c>
      <c r="G663" t="str">
        <v>Agosto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</row>
    <row r="664">
      <c r="A664" t="str">
        <v>Egreso</v>
      </c>
      <c r="B664">
        <v>46245</v>
      </c>
      <c r="C664" t="str">
        <v>Gasto</v>
      </c>
      <c r="D664" t="str">
        <v>Broaster</v>
      </c>
      <c r="E664">
        <v>12</v>
      </c>
      <c r="F664" t="str">
        <v>Interbank</v>
      </c>
      <c r="G664" t="str">
        <v>Agosto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</row>
    <row r="665">
      <c r="A665" t="str">
        <v>Egreso</v>
      </c>
      <c r="B665">
        <v>46246</v>
      </c>
      <c r="C665" t="str">
        <v>Otro Egre</v>
      </c>
      <c r="D665" t="str">
        <v>Carol</v>
      </c>
      <c r="E665">
        <v>13</v>
      </c>
      <c r="F665" t="str">
        <v>Interbank</v>
      </c>
      <c r="G665" t="str">
        <v>Agosto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>
      <c r="A666" t="str">
        <v>Egreso</v>
      </c>
      <c r="B666">
        <v>46246</v>
      </c>
      <c r="C666" t="str">
        <v>Gasto</v>
      </c>
      <c r="D666" t="str">
        <v>Gaseosa</v>
      </c>
      <c r="E666">
        <v>9.9</v>
      </c>
      <c r="F666" t="str">
        <v>Interbank Amex</v>
      </c>
      <c r="G666" t="str">
        <v>Agosto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</row>
    <row r="667">
      <c r="A667" t="str">
        <v>Egreso</v>
      </c>
      <c r="B667">
        <v>46246</v>
      </c>
      <c r="C667" t="str">
        <v>Otro Egre</v>
      </c>
      <c r="D667" t="str">
        <v>Carol</v>
      </c>
      <c r="E667">
        <v>10.9</v>
      </c>
      <c r="F667" t="str">
        <v>Interbank Amex</v>
      </c>
      <c r="G667" t="str">
        <v>Agosto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</row>
    <row r="668">
      <c r="A668" t="str">
        <v>Egreso</v>
      </c>
      <c r="B668">
        <v>46246</v>
      </c>
      <c r="C668" t="str">
        <v>Gasto</v>
      </c>
      <c r="D668" t="str">
        <v>Planet Chicken</v>
      </c>
      <c r="E668">
        <v>75.9</v>
      </c>
      <c r="F668" t="str">
        <v>Interbank Amex</v>
      </c>
      <c r="G668" t="str">
        <v>Agosto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>
      <c r="A669" t="str">
        <v>Egreso</v>
      </c>
      <c r="B669">
        <v>46246</v>
      </c>
      <c r="C669" t="str">
        <v>Gasto</v>
      </c>
      <c r="D669" t="str">
        <v>Bus</v>
      </c>
      <c r="E669">
        <v>5</v>
      </c>
      <c r="F669" t="str">
        <v>Interbank</v>
      </c>
      <c r="G669" t="str">
        <v>Agosto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</row>
    <row r="670">
      <c r="A670" t="str">
        <v>Egreso</v>
      </c>
      <c r="B670">
        <v>46246</v>
      </c>
      <c r="C670" t="str">
        <v>Gasto</v>
      </c>
      <c r="D670" t="str">
        <v>Bus</v>
      </c>
      <c r="E670">
        <v>8.5</v>
      </c>
      <c r="F670" t="str">
        <v>Interbank</v>
      </c>
      <c r="G670" t="str">
        <v>Agosto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</row>
    <row r="671">
      <c r="A671" t="str">
        <v>Egreso</v>
      </c>
      <c r="B671">
        <v>46246</v>
      </c>
      <c r="C671" t="str">
        <v>Gasto</v>
      </c>
      <c r="D671" t="str">
        <v>Broaster</v>
      </c>
      <c r="E671">
        <v>10</v>
      </c>
      <c r="F671" t="str">
        <v>Interbank</v>
      </c>
      <c r="G671" t="str">
        <v>Agosto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</row>
    <row r="672">
      <c r="A672" t="str">
        <v>Egreso</v>
      </c>
      <c r="B672">
        <v>46246</v>
      </c>
      <c r="C672" t="str">
        <v>Gasto</v>
      </c>
      <c r="D672" t="str">
        <v>Bus</v>
      </c>
      <c r="E672">
        <v>7</v>
      </c>
      <c r="F672" t="str">
        <v>Interbank</v>
      </c>
      <c r="G672" t="str">
        <v>Agosto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>
      <c r="A673" t="str">
        <v>Egreso</v>
      </c>
      <c r="B673">
        <v>46247</v>
      </c>
      <c r="C673" t="str">
        <v>Gasto</v>
      </c>
      <c r="D673" t="str">
        <v>Bus</v>
      </c>
      <c r="E673">
        <v>5</v>
      </c>
      <c r="F673" t="str">
        <v>Interbank</v>
      </c>
      <c r="G673" t="str">
        <v>Agosto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 t="str">
        <v>Egreso</v>
      </c>
      <c r="B674">
        <v>46247</v>
      </c>
      <c r="C674" t="str">
        <v>Otro Egre</v>
      </c>
      <c r="D674" t="str">
        <v>Carol</v>
      </c>
      <c r="E674">
        <v>2.49</v>
      </c>
      <c r="F674" t="str">
        <v>Interbank Amex</v>
      </c>
      <c r="G674" t="str">
        <v>Agosto</v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</row>
    <row r="675">
      <c r="A675" t="str">
        <v>Egreso</v>
      </c>
      <c r="B675">
        <v>46247</v>
      </c>
      <c r="C675" t="str">
        <v>Gasto</v>
      </c>
      <c r="D675" t="str">
        <v>Taxi</v>
      </c>
      <c r="E675">
        <v>19</v>
      </c>
      <c r="F675" t="str">
        <v>Interbank</v>
      </c>
      <c r="G675" t="str">
        <v>Agosto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</row>
    <row r="676">
      <c r="A676" t="str">
        <v>Egreso</v>
      </c>
      <c r="B676">
        <v>46247</v>
      </c>
      <c r="C676" t="str">
        <v>Gasto</v>
      </c>
      <c r="D676" t="str">
        <v>Bus</v>
      </c>
      <c r="E676">
        <v>8</v>
      </c>
      <c r="F676" t="str">
        <v>Interbank</v>
      </c>
      <c r="G676" t="str">
        <v>Agosto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</row>
    <row r="677">
      <c r="A677" t="str">
        <v>Egreso</v>
      </c>
      <c r="B677">
        <v>46247</v>
      </c>
      <c r="C677" t="str">
        <v>Gasto</v>
      </c>
      <c r="D677" t="str">
        <v>Gaseosa</v>
      </c>
      <c r="E677">
        <v>14</v>
      </c>
      <c r="F677" t="str">
        <v>BBVA Bfree</v>
      </c>
      <c r="G677" t="str">
        <v>Agosto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>
      <c r="A678" t="str">
        <v>Egreso</v>
      </c>
      <c r="B678">
        <v>46247</v>
      </c>
      <c r="C678" t="str">
        <v>Gasto</v>
      </c>
      <c r="D678" t="str">
        <v>Makis</v>
      </c>
      <c r="E678">
        <v>118</v>
      </c>
      <c r="F678" t="str">
        <v>Interbank Amex</v>
      </c>
      <c r="G678" t="str">
        <v>Agosto</v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</row>
    <row r="679">
      <c r="A679" t="str">
        <v>Egreso</v>
      </c>
      <c r="B679">
        <v>46248</v>
      </c>
      <c r="C679" t="str">
        <v>Gasto</v>
      </c>
      <c r="D679" t="str">
        <v>Bus</v>
      </c>
      <c r="E679">
        <v>9.5</v>
      </c>
      <c r="F679" t="str">
        <v>Interbank</v>
      </c>
      <c r="G679" t="str">
        <v>Agosto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</row>
    <row r="680">
      <c r="A680" t="str">
        <v>Egreso</v>
      </c>
      <c r="B680">
        <v>46248</v>
      </c>
      <c r="C680" t="str">
        <v>Gasto</v>
      </c>
      <c r="D680" t="str">
        <v>Futbol</v>
      </c>
      <c r="E680">
        <v>11</v>
      </c>
      <c r="F680" t="str">
        <v>Interbank</v>
      </c>
      <c r="G680" t="str">
        <v>Agosto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</row>
    <row r="681">
      <c r="A681" t="str">
        <v>Egreso</v>
      </c>
      <c r="B681">
        <v>46249</v>
      </c>
      <c r="C681" t="str">
        <v>Deuda</v>
      </c>
      <c r="D681" t="str">
        <v>Prestamo BCP</v>
      </c>
      <c r="E681">
        <v>143.16</v>
      </c>
      <c r="F681" t="str">
        <v>Interbank</v>
      </c>
      <c r="G681" t="str">
        <v>Agosto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</row>
    <row r="682">
      <c r="A682" t="str">
        <v>Egreso</v>
      </c>
      <c r="B682">
        <v>46249</v>
      </c>
      <c r="C682" t="str">
        <v>Gasto</v>
      </c>
      <c r="D682" t="str">
        <v>Gaseosa</v>
      </c>
      <c r="E682">
        <v>12.9</v>
      </c>
      <c r="F682" t="str">
        <v>Ripley</v>
      </c>
      <c r="G682" t="str">
        <v>Agosto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</row>
    <row r="683">
      <c r="A683" t="str">
        <v>Egreso</v>
      </c>
      <c r="B683">
        <v>46249</v>
      </c>
      <c r="C683" t="str">
        <v>Gasto</v>
      </c>
      <c r="D683" t="str">
        <v>Broaster</v>
      </c>
      <c r="E683">
        <v>25</v>
      </c>
      <c r="F683" t="str">
        <v>Ripley</v>
      </c>
      <c r="G683" t="str">
        <v>Agosto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</row>
    <row r="684">
      <c r="A684" t="str">
        <v>Egreso</v>
      </c>
      <c r="B684">
        <v>46249</v>
      </c>
      <c r="C684" t="str">
        <v>Gasto</v>
      </c>
      <c r="D684" t="str">
        <v>Taxi</v>
      </c>
      <c r="E684">
        <v>15.5</v>
      </c>
      <c r="F684" t="str">
        <v>Interbank</v>
      </c>
      <c r="G684" t="str">
        <v>Agosto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</row>
    <row r="685">
      <c r="A685" t="str">
        <v>Egreso</v>
      </c>
      <c r="B685">
        <v>46249</v>
      </c>
      <c r="C685" t="str">
        <v>Gasto</v>
      </c>
      <c r="D685" t="str">
        <v>Alcohol</v>
      </c>
      <c r="E685">
        <v>20</v>
      </c>
      <c r="F685" t="str">
        <v>Interbank</v>
      </c>
      <c r="G685" t="str">
        <v>Agosto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>
      <c r="A686" t="str">
        <v>Egreso</v>
      </c>
      <c r="B686">
        <v>46250</v>
      </c>
      <c r="C686" t="str">
        <v>Gasto</v>
      </c>
      <c r="D686" t="str">
        <v>Broaster</v>
      </c>
      <c r="E686">
        <v>10</v>
      </c>
      <c r="F686" t="str">
        <v>Interbank</v>
      </c>
      <c r="G686" t="str">
        <v>Agosto</v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</row>
    <row r="687">
      <c r="A687" t="str">
        <v>Egreso</v>
      </c>
      <c r="B687">
        <v>46251</v>
      </c>
      <c r="C687" t="str">
        <v>Gasto</v>
      </c>
      <c r="D687" t="str">
        <v>Detergente</v>
      </c>
      <c r="E687">
        <v>2.43</v>
      </c>
      <c r="F687" t="str">
        <v>Interbank</v>
      </c>
      <c r="G687" t="str">
        <v>Agosto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</row>
    <row r="688">
      <c r="A688" t="str">
        <v>Egreso</v>
      </c>
      <c r="B688">
        <v>46251</v>
      </c>
      <c r="C688" t="str">
        <v>Gasto</v>
      </c>
      <c r="D688" t="str">
        <v>Papel Higiénico</v>
      </c>
      <c r="E688">
        <v>2.43</v>
      </c>
      <c r="F688" t="str">
        <v>Interbank</v>
      </c>
      <c r="G688" t="str">
        <v>Agosto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</row>
    <row r="689">
      <c r="A689" t="str">
        <v>Egreso</v>
      </c>
      <c r="B689">
        <v>46251</v>
      </c>
      <c r="C689" t="str">
        <v>Gasto</v>
      </c>
      <c r="D689" t="str">
        <v>Pasta Dental</v>
      </c>
      <c r="E689">
        <v>2.44</v>
      </c>
      <c r="F689" t="str">
        <v>Interbank</v>
      </c>
      <c r="G689" t="str">
        <v>Agosto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</row>
    <row r="690">
      <c r="A690" t="str">
        <v>Egreso</v>
      </c>
      <c r="B690">
        <v>46251</v>
      </c>
      <c r="C690" t="str">
        <v>Gasto</v>
      </c>
      <c r="D690" t="str">
        <v>Gaseosa</v>
      </c>
      <c r="E690">
        <v>1.5</v>
      </c>
      <c r="F690" t="str">
        <v>Interbank</v>
      </c>
      <c r="G690" t="str">
        <v>Agosto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</row>
    <row r="691">
      <c r="A691" t="str">
        <v>Egreso</v>
      </c>
      <c r="B691">
        <v>46252</v>
      </c>
      <c r="C691" t="str">
        <v>Gasto</v>
      </c>
      <c r="D691" t="str">
        <v>Broaster</v>
      </c>
      <c r="E691">
        <v>10</v>
      </c>
      <c r="F691" t="str">
        <v>Interbank</v>
      </c>
      <c r="G691" t="str">
        <v>Agosto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 t="str">
        <v>Egreso</v>
      </c>
      <c r="B692">
        <v>46253</v>
      </c>
      <c r="C692" t="str">
        <v>Gasto</v>
      </c>
      <c r="D692" t="str">
        <v>Broaster</v>
      </c>
      <c r="E692">
        <v>10</v>
      </c>
      <c r="F692" t="str">
        <v>Interbank</v>
      </c>
      <c r="G692" t="str">
        <v>Agosto</v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>
      <c r="A693" t="str">
        <v>Egreso</v>
      </c>
      <c r="B693">
        <v>46254</v>
      </c>
      <c r="C693" t="str">
        <v>Gasto</v>
      </c>
      <c r="D693" t="str">
        <v>Gaseosa</v>
      </c>
      <c r="E693">
        <v>12.9</v>
      </c>
      <c r="F693" t="str">
        <v>Ripley</v>
      </c>
      <c r="G693" t="str">
        <v>Agosto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</row>
    <row r="694">
      <c r="A694" t="str">
        <v>Egreso</v>
      </c>
      <c r="B694">
        <v>46255</v>
      </c>
      <c r="C694" t="str">
        <v>Gasto</v>
      </c>
      <c r="D694" t="str">
        <v>Broaster</v>
      </c>
      <c r="E694">
        <v>10</v>
      </c>
      <c r="F694" t="str">
        <v>Interbank</v>
      </c>
      <c r="G694" t="str">
        <v>Agosto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</row>
    <row r="695">
      <c r="A695" t="str">
        <v>Egreso</v>
      </c>
      <c r="B695">
        <v>46255</v>
      </c>
      <c r="C695" t="str">
        <v>Gasto</v>
      </c>
      <c r="D695" t="str">
        <v>Futbol</v>
      </c>
      <c r="E695">
        <v>9</v>
      </c>
      <c r="F695" t="str">
        <v>Interbank</v>
      </c>
      <c r="G695" t="str">
        <v>Agosto</v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</row>
    <row r="696">
      <c r="A696" t="str">
        <v>Egreso</v>
      </c>
      <c r="B696">
        <v>46256</v>
      </c>
      <c r="C696" t="str">
        <v>Gasto</v>
      </c>
      <c r="D696" t="str">
        <v>Futbol</v>
      </c>
      <c r="E696">
        <v>13</v>
      </c>
      <c r="F696" t="str">
        <v>Interbank</v>
      </c>
      <c r="G696" t="str">
        <v>Agosto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</row>
    <row r="697">
      <c r="A697" t="str">
        <v>Egreso</v>
      </c>
      <c r="B697">
        <v>46256</v>
      </c>
      <c r="C697" t="str">
        <v>Gasto</v>
      </c>
      <c r="D697" t="str">
        <v>Broaster</v>
      </c>
      <c r="E697">
        <v>10</v>
      </c>
      <c r="F697" t="str">
        <v>Interbank</v>
      </c>
      <c r="G697" t="str">
        <v>Agosto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>
      <c r="A698" t="str">
        <v>Egreso</v>
      </c>
      <c r="B698">
        <v>46257</v>
      </c>
      <c r="C698" t="str">
        <v>Servicio</v>
      </c>
      <c r="D698" t="str">
        <v>iCloud</v>
      </c>
      <c r="E698">
        <v>14.66</v>
      </c>
      <c r="F698" t="str">
        <v>Interbank</v>
      </c>
      <c r="G698" t="str">
        <v>Agosto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>
      <c r="A699" t="str">
        <v>Egreso</v>
      </c>
      <c r="B699">
        <v>46257</v>
      </c>
      <c r="C699" t="str">
        <v>Gasto</v>
      </c>
      <c r="D699" t="str">
        <v>Pollo a la Brasa</v>
      </c>
      <c r="E699">
        <v>25.9</v>
      </c>
      <c r="F699" t="str">
        <v>Interbank</v>
      </c>
      <c r="G699" t="str">
        <v>Agosto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>
      <c r="A700" t="str">
        <v>Egreso</v>
      </c>
      <c r="B700">
        <v>46257</v>
      </c>
      <c r="C700" t="str">
        <v>Gasto</v>
      </c>
      <c r="D700" t="str">
        <v>Taxi</v>
      </c>
      <c r="E700">
        <v>15</v>
      </c>
      <c r="F700" t="str">
        <v>Interbank</v>
      </c>
      <c r="G700" t="str">
        <v>Agosto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</row>
    <row r="701">
      <c r="A701" t="str">
        <v>Egreso</v>
      </c>
      <c r="B701">
        <v>46258</v>
      </c>
      <c r="C701" t="str">
        <v>Gasto</v>
      </c>
      <c r="D701" t="str">
        <v>Shawarma</v>
      </c>
      <c r="E701">
        <v>10</v>
      </c>
      <c r="F701" t="str">
        <v>Interbank</v>
      </c>
      <c r="G701" t="str">
        <v>Agosto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</row>
    <row r="702">
      <c r="A702" t="str">
        <v>Egreso</v>
      </c>
      <c r="B702">
        <v>46258</v>
      </c>
      <c r="C702" t="str">
        <v>Gasto</v>
      </c>
      <c r="D702" t="str">
        <v>Detergente</v>
      </c>
      <c r="E702">
        <v>7.97</v>
      </c>
      <c r="F702" t="str">
        <v>Interbank Amex</v>
      </c>
      <c r="G702" t="str">
        <v>Agosto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</row>
    <row r="703">
      <c r="A703" t="str">
        <v>Egreso</v>
      </c>
      <c r="B703">
        <v>46258</v>
      </c>
      <c r="C703" t="str">
        <v>Gasto</v>
      </c>
      <c r="D703" t="str">
        <v>Papel Higiénico</v>
      </c>
      <c r="E703">
        <v>7.97</v>
      </c>
      <c r="F703" t="str">
        <v>Interbank Amex</v>
      </c>
      <c r="G703" t="str">
        <v>Agosto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</row>
    <row r="704">
      <c r="A704" t="str">
        <v>Egreso</v>
      </c>
      <c r="B704">
        <v>46258</v>
      </c>
      <c r="C704" t="str">
        <v>Gasto</v>
      </c>
      <c r="D704" t="str">
        <v>Pasta Dental</v>
      </c>
      <c r="E704">
        <v>7.96</v>
      </c>
      <c r="F704" t="str">
        <v>Interbank Amex</v>
      </c>
      <c r="G704" t="str">
        <v>Agosto</v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</row>
    <row r="705">
      <c r="A705" t="str">
        <v>Egreso</v>
      </c>
      <c r="B705">
        <v>46261</v>
      </c>
      <c r="C705" t="str">
        <v>Gasto</v>
      </c>
      <c r="D705" t="str">
        <v>Detergente</v>
      </c>
      <c r="E705">
        <v>0.5</v>
      </c>
      <c r="F705" t="str">
        <v>Interbank</v>
      </c>
      <c r="G705" t="str">
        <v>Agosto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>
      <c r="A706" t="str">
        <v>Egreso</v>
      </c>
      <c r="B706">
        <v>46261</v>
      </c>
      <c r="C706" t="str">
        <v>Gasto</v>
      </c>
      <c r="D706" t="str">
        <v>Papel Higiénico</v>
      </c>
      <c r="E706">
        <v>0.5</v>
      </c>
      <c r="F706" t="str">
        <v>Interbank</v>
      </c>
      <c r="G706" t="str">
        <v>Agosto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 t="str">
        <v>Egreso</v>
      </c>
      <c r="B707">
        <v>46261</v>
      </c>
      <c r="C707" t="str">
        <v>Gasto</v>
      </c>
      <c r="D707" t="str">
        <v>Pasta Dental</v>
      </c>
      <c r="E707">
        <v>0.5</v>
      </c>
      <c r="F707" t="str">
        <v>Interbank</v>
      </c>
      <c r="G707" t="str">
        <v>Agosto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</row>
    <row r="708">
      <c r="A708" t="str">
        <v>Egreso</v>
      </c>
      <c r="B708">
        <v>46261</v>
      </c>
      <c r="C708" t="str">
        <v>Gasto</v>
      </c>
      <c r="D708" t="str">
        <v>Broaster</v>
      </c>
      <c r="E708">
        <v>9</v>
      </c>
      <c r="F708" t="str">
        <v>Interbank</v>
      </c>
      <c r="G708" t="str">
        <v>Agosto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</row>
    <row r="709">
      <c r="A709" t="str">
        <v>Ingreso</v>
      </c>
      <c r="B709">
        <v>46261</v>
      </c>
      <c r="C709" t="str">
        <v>Otro Ing</v>
      </c>
      <c r="D709" t="str">
        <v>Eduardo</v>
      </c>
      <c r="E709">
        <v>100</v>
      </c>
      <c r="F709" t="str">
        <v>Interbank</v>
      </c>
      <c r="G709" t="str">
        <v>Agosto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</row>
    <row r="710">
      <c r="A710" t="str">
        <v>Ingreso</v>
      </c>
      <c r="B710">
        <v>46266</v>
      </c>
      <c r="C710" t="str">
        <v>Otro Ing</v>
      </c>
      <c r="D710" t="str">
        <v>Bonificación Ahorro</v>
      </c>
      <c r="E710">
        <v>193.0000000000009</v>
      </c>
      <c r="F710" t="str">
        <v>Interbank</v>
      </c>
      <c r="G710" t="str">
        <v>Setiembre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</row>
    <row r="711">
      <c r="A711" t="str">
        <v>Ingreso</v>
      </c>
      <c r="B711">
        <v>46266</v>
      </c>
      <c r="C711" t="str">
        <v>Sueldo</v>
      </c>
      <c r="D711" t="str">
        <v>Sueldo</v>
      </c>
      <c r="E711">
        <v>2259.63</v>
      </c>
      <c r="F711" t="str">
        <v>Interbank</v>
      </c>
      <c r="G711" t="str">
        <v>Setiembre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</row>
    <row r="712">
      <c r="A712" t="str">
        <v>Ingreso</v>
      </c>
      <c r="B712">
        <v>46266</v>
      </c>
      <c r="C712" t="str">
        <v>Tarjeta</v>
      </c>
      <c r="D712" t="str">
        <v>Linea Tarjeta</v>
      </c>
      <c r="E712">
        <v>976.1</v>
      </c>
      <c r="F712" t="str">
        <v>Interbank Amex</v>
      </c>
      <c r="G712" t="str">
        <v>Setiembre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</row>
    <row r="713">
      <c r="A713" t="str">
        <v>Ingreso</v>
      </c>
      <c r="B713">
        <v>46266</v>
      </c>
      <c r="C713" t="str">
        <v>Tarjeta</v>
      </c>
      <c r="D713" t="str">
        <v>Linea Tarjeta</v>
      </c>
      <c r="E713">
        <v>488.43</v>
      </c>
      <c r="F713" t="str">
        <v>BBVA Bfree</v>
      </c>
      <c r="G713" t="str">
        <v>Setiembre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</row>
    <row r="714">
      <c r="A714" t="str">
        <v>Ingreso</v>
      </c>
      <c r="B714">
        <v>46266</v>
      </c>
      <c r="C714" t="str">
        <v>Tarjeta</v>
      </c>
      <c r="D714" t="str">
        <v>Linea Tarjeta</v>
      </c>
      <c r="E714">
        <v>637.11</v>
      </c>
      <c r="F714" t="str">
        <v>Ripley</v>
      </c>
      <c r="G714" t="str">
        <v>Setiembre</v>
      </c>
      <c r="H714" t="str">
        <v>Desde el 28/08 Todo se considera como Setiembre</v>
      </c>
      <c r="I714" t="str">
        <v/>
      </c>
      <c r="J714" t="str">
        <v/>
      </c>
      <c r="K714" t="str">
        <v/>
      </c>
      <c r="L714" t="str">
        <v/>
      </c>
      <c r="M714" t="str">
        <v/>
      </c>
    </row>
    <row r="715">
      <c r="A715" t="str">
        <v>Egreso</v>
      </c>
      <c r="B715">
        <v>46266</v>
      </c>
      <c r="C715" t="str">
        <v>Servicio</v>
      </c>
      <c r="D715" t="str">
        <v>Pago de Tarjeta Ripley</v>
      </c>
      <c r="E715">
        <v>200.67</v>
      </c>
      <c r="F715" t="str">
        <v>Interbank</v>
      </c>
      <c r="G715" t="str">
        <v>Setiembre</v>
      </c>
      <c r="H715" t="str">
        <v>Presupuesto Fijo Mensual</v>
      </c>
      <c r="I715" t="str">
        <v>Julio</v>
      </c>
      <c r="J715" t="str">
        <v/>
      </c>
      <c r="K715" t="str">
        <v/>
      </c>
      <c r="L715" t="str">
        <v/>
      </c>
      <c r="M715" t="str">
        <v/>
      </c>
    </row>
    <row r="716">
      <c r="A716" t="str">
        <v>Egreso</v>
      </c>
      <c r="B716">
        <v>46266</v>
      </c>
      <c r="C716" t="str">
        <v>Deuda</v>
      </c>
      <c r="D716" t="str">
        <v>Prestamo Yape</v>
      </c>
      <c r="E716">
        <v>116.85</v>
      </c>
      <c r="F716" t="str">
        <v>Interbank</v>
      </c>
      <c r="G716" t="str">
        <v>Setiembre</v>
      </c>
      <c r="H716" t="str">
        <v>Tipo</v>
      </c>
      <c r="I716" t="str">
        <v>Concepto</v>
      </c>
      <c r="J716" t="str">
        <v>Fecha</v>
      </c>
      <c r="K716" t="str">
        <v>Categoría</v>
      </c>
      <c r="L716" t="str">
        <v>Monto</v>
      </c>
      <c r="M716" t="str">
        <v>Entidad</v>
      </c>
    </row>
    <row r="717">
      <c r="A717" t="str">
        <v>Egreso</v>
      </c>
      <c r="B717">
        <v>46266</v>
      </c>
      <c r="C717" t="str">
        <v>Servicio</v>
      </c>
      <c r="D717" t="str">
        <v>Corte de Cabello</v>
      </c>
      <c r="E717">
        <v>20</v>
      </c>
      <c r="F717" t="str">
        <v>Interbank</v>
      </c>
      <c r="G717" t="str">
        <v>Setiembre</v>
      </c>
      <c r="H717" t="str">
        <v>Egreso</v>
      </c>
      <c r="I717" t="str">
        <v>Spotify</v>
      </c>
      <c r="J717">
        <v>46266</v>
      </c>
      <c r="K717" t="str">
        <v>Servicio</v>
      </c>
      <c r="L717">
        <v>12</v>
      </c>
      <c r="M717" t="str">
        <v>Interbank Amex</v>
      </c>
    </row>
    <row r="718">
      <c r="A718" t="str">
        <v>Egreso</v>
      </c>
      <c r="B718">
        <v>46266</v>
      </c>
      <c r="C718" t="str">
        <v>Deuda</v>
      </c>
      <c r="D718" t="str">
        <v>iPhone 16</v>
      </c>
      <c r="E718">
        <v>245.75</v>
      </c>
      <c r="F718" t="str">
        <v>Interbank</v>
      </c>
      <c r="G718" t="str">
        <v>Setiembre</v>
      </c>
      <c r="H718" t="str">
        <v>Egreso</v>
      </c>
      <c r="I718" t="str">
        <v>Internet</v>
      </c>
      <c r="J718">
        <v>46266</v>
      </c>
      <c r="K718" t="str">
        <v>Servicio</v>
      </c>
      <c r="L718">
        <v>79</v>
      </c>
      <c r="M718" t="str">
        <v>BBVA Bfree</v>
      </c>
    </row>
    <row r="719">
      <c r="A719" t="str">
        <v>Egreso</v>
      </c>
      <c r="B719">
        <v>46266</v>
      </c>
      <c r="C719" t="str">
        <v>Gasto</v>
      </c>
      <c r="D719" t="str">
        <v>Futbol</v>
      </c>
      <c r="E719">
        <v>24.5</v>
      </c>
      <c r="F719" t="str">
        <v>Interbank</v>
      </c>
      <c r="G719" t="str">
        <v>Setiembre</v>
      </c>
      <c r="H719" t="str">
        <v>Egreso</v>
      </c>
      <c r="I719" t="str">
        <v>Gas</v>
      </c>
      <c r="J719">
        <v>46266</v>
      </c>
      <c r="K719" t="str">
        <v>Servicio</v>
      </c>
      <c r="L719">
        <v>41.9</v>
      </c>
      <c r="M719" t="str">
        <v>BBVA Bfree</v>
      </c>
    </row>
    <row r="720">
      <c r="A720" t="str">
        <v>Egreso</v>
      </c>
      <c r="B720">
        <v>46266</v>
      </c>
      <c r="C720" t="str">
        <v>Servicio</v>
      </c>
      <c r="D720" t="str">
        <v>IA</v>
      </c>
      <c r="E720">
        <v>18.99</v>
      </c>
      <c r="F720" t="str">
        <v>Ripley</v>
      </c>
      <c r="G720" t="str">
        <v>Setiembre</v>
      </c>
      <c r="H720" t="str">
        <v>Egreso</v>
      </c>
      <c r="I720" t="str">
        <v>Pastilla Madre</v>
      </c>
      <c r="J720">
        <v>46269</v>
      </c>
      <c r="K720" t="str">
        <v>Gasto</v>
      </c>
      <c r="L720">
        <v>120</v>
      </c>
      <c r="M720" t="str">
        <v>Ripley</v>
      </c>
    </row>
    <row r="721">
      <c r="A721" t="str">
        <v>Egreso</v>
      </c>
      <c r="B721">
        <v>46266</v>
      </c>
      <c r="C721" t="str">
        <v>Gasto</v>
      </c>
      <c r="D721" t="str">
        <v>Gaseosa</v>
      </c>
      <c r="E721">
        <v>12.7</v>
      </c>
      <c r="F721" t="str">
        <v>Interbank Amex</v>
      </c>
      <c r="G721" t="str">
        <v>Setiembre</v>
      </c>
      <c r="H721" t="str">
        <v>Egreso</v>
      </c>
      <c r="I721" t="str">
        <v>Luz</v>
      </c>
      <c r="J721">
        <v>46276</v>
      </c>
      <c r="K721" t="str">
        <v>Servicio</v>
      </c>
      <c r="L721">
        <v>112</v>
      </c>
      <c r="M721" t="str">
        <v>BBVA Bfree</v>
      </c>
    </row>
    <row r="722">
      <c r="A722" t="str">
        <v>Egreso</v>
      </c>
      <c r="B722">
        <v>46266</v>
      </c>
      <c r="C722" t="str">
        <v>Gasto</v>
      </c>
      <c r="D722" t="str">
        <v>Tortes</v>
      </c>
      <c r="E722">
        <v>2</v>
      </c>
      <c r="F722" t="str">
        <v>Interbank</v>
      </c>
      <c r="G722" t="str">
        <v>Setiembre</v>
      </c>
      <c r="H722" t="str">
        <v>Egreso</v>
      </c>
      <c r="I722" t="str">
        <v>Telefonia Movil</v>
      </c>
      <c r="J722">
        <v>46276</v>
      </c>
      <c r="K722" t="str">
        <v>Servicio</v>
      </c>
      <c r="L722">
        <v>39.9</v>
      </c>
      <c r="M722" t="str">
        <v>BBVA Bfree</v>
      </c>
    </row>
    <row r="723">
      <c r="A723" t="str">
        <v>Egreso</v>
      </c>
      <c r="B723">
        <v>46266</v>
      </c>
      <c r="C723" t="str">
        <v>Gasto</v>
      </c>
      <c r="D723" t="str">
        <v>Futbol</v>
      </c>
      <c r="E723">
        <v>10</v>
      </c>
      <c r="F723" t="str">
        <v>Interbank</v>
      </c>
      <c r="G723" t="str">
        <v>Setiembre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</row>
    <row r="724">
      <c r="A724" t="str">
        <v>Egreso</v>
      </c>
      <c r="B724">
        <v>46266</v>
      </c>
      <c r="C724" t="str">
        <v>Gasto</v>
      </c>
      <c r="D724" t="str">
        <v>Broaster</v>
      </c>
      <c r="E724">
        <v>15</v>
      </c>
      <c r="F724" t="str">
        <v>Interbank</v>
      </c>
      <c r="G724" t="str">
        <v>Setiembre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</row>
    <row r="725">
      <c r="A725" t="str">
        <v>Egreso</v>
      </c>
      <c r="B725">
        <v>46266</v>
      </c>
      <c r="C725" t="str">
        <v>Gasto</v>
      </c>
      <c r="D725" t="str">
        <v>Alcohol</v>
      </c>
      <c r="E725">
        <v>12.9</v>
      </c>
      <c r="F725" t="str">
        <v>Interbank</v>
      </c>
      <c r="G725" t="str">
        <v>Setiembre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</row>
    <row r="726">
      <c r="A726" t="str">
        <v>Egreso</v>
      </c>
      <c r="B726">
        <v>46266</v>
      </c>
      <c r="C726" t="str">
        <v>Gasto</v>
      </c>
      <c r="D726" t="str">
        <v>Ceviche</v>
      </c>
      <c r="E726">
        <v>145</v>
      </c>
      <c r="F726" t="str">
        <v>Interbank Amex</v>
      </c>
      <c r="G726" t="str">
        <v>Setiembre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</row>
    <row r="727">
      <c r="A727" t="str">
        <v>Egreso</v>
      </c>
      <c r="B727">
        <v>46266</v>
      </c>
      <c r="C727" t="str">
        <v>Gasto</v>
      </c>
      <c r="D727" t="str">
        <v>Café</v>
      </c>
      <c r="E727">
        <v>16</v>
      </c>
      <c r="F727" t="str">
        <v>Interbank Amex</v>
      </c>
      <c r="G727" t="str">
        <v>Setiembre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</row>
    <row r="728">
      <c r="A728" t="str">
        <v>Egreso</v>
      </c>
      <c r="B728">
        <v>46266</v>
      </c>
      <c r="C728" t="str">
        <v>Gasto</v>
      </c>
      <c r="D728" t="str">
        <v>Bus</v>
      </c>
      <c r="E728">
        <v>2</v>
      </c>
      <c r="F728" t="str">
        <v>Interbank</v>
      </c>
      <c r="G728" t="str">
        <v>Setiembre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</row>
    <row r="729">
      <c r="A729" t="str">
        <v>Egreso</v>
      </c>
      <c r="B729">
        <v>46266</v>
      </c>
      <c r="C729" t="str">
        <v>Gasto</v>
      </c>
      <c r="D729" t="str">
        <v>Agua Mineral</v>
      </c>
      <c r="E729">
        <v>2</v>
      </c>
      <c r="F729" t="str">
        <v>Interbank</v>
      </c>
      <c r="G729" t="str">
        <v>Setiembre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>Egreso</v>
      </c>
      <c r="B730">
        <v>46266</v>
      </c>
      <c r="C730" t="str">
        <v>Gasto</v>
      </c>
      <c r="D730" t="str">
        <v>Gaseosa</v>
      </c>
      <c r="E730">
        <v>3.5</v>
      </c>
      <c r="F730" t="str">
        <v>Interbank</v>
      </c>
      <c r="G730" t="str">
        <v>Setiembre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>Egreso</v>
      </c>
      <c r="B731">
        <v>46266</v>
      </c>
      <c r="C731" t="str">
        <v>Gasto</v>
      </c>
      <c r="D731" t="str">
        <v>Bus</v>
      </c>
      <c r="E731">
        <v>4</v>
      </c>
      <c r="F731" t="str">
        <v>Interbank</v>
      </c>
      <c r="G731" t="str">
        <v>Setiembre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>Egreso</v>
      </c>
      <c r="B732">
        <v>46266</v>
      </c>
      <c r="C732" t="str">
        <v>Gasto</v>
      </c>
      <c r="D732" t="str">
        <v>Bus</v>
      </c>
      <c r="E732">
        <v>9</v>
      </c>
      <c r="F732" t="str">
        <v>Interbank</v>
      </c>
      <c r="G732" t="str">
        <v>Setiembre</v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</row>
    <row r="733">
      <c r="A733" t="str">
        <v>Egreso</v>
      </c>
      <c r="B733">
        <v>46266</v>
      </c>
      <c r="C733" t="str">
        <v>Gasto</v>
      </c>
      <c r="D733" t="str">
        <v>Gaseosa</v>
      </c>
      <c r="E733">
        <v>8</v>
      </c>
      <c r="F733" t="str">
        <v>Interbank</v>
      </c>
      <c r="G733" t="str">
        <v>Setiembre</v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>Egreso</v>
      </c>
      <c r="B734">
        <v>46266</v>
      </c>
      <c r="C734" t="str">
        <v>Servicio</v>
      </c>
      <c r="D734" t="str">
        <v>Pago de Tarjeta Interbank Amex</v>
      </c>
      <c r="E734">
        <v>751.89</v>
      </c>
      <c r="F734" t="str">
        <v>Interbank</v>
      </c>
      <c r="G734" t="str">
        <v>Setiembre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</row>
    <row r="735">
      <c r="A735" t="str">
        <v>Egreso</v>
      </c>
      <c r="B735">
        <v>46266</v>
      </c>
      <c r="C735" t="str">
        <v>Servicio</v>
      </c>
      <c r="D735" t="str">
        <v>Pago de Tarjeta BBVA Bfree</v>
      </c>
      <c r="E735">
        <v>455.09</v>
      </c>
      <c r="F735" t="str">
        <v>Interbank</v>
      </c>
      <c r="G735" t="str">
        <v>Setiembre</v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</row>
    <row r="736">
      <c r="A736" t="str">
        <v>Egreso</v>
      </c>
      <c r="B736">
        <v>46266</v>
      </c>
      <c r="C736" t="str">
        <v>Servicio</v>
      </c>
      <c r="D736" t="str">
        <v>Agua + Mantenimiento</v>
      </c>
      <c r="E736">
        <v>160</v>
      </c>
      <c r="F736" t="str">
        <v>Interbank</v>
      </c>
      <c r="G736" t="str">
        <v>Setiembre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</row>
    <row r="737">
      <c r="A737" t="str">
        <v>Egreso</v>
      </c>
      <c r="B737">
        <v>46280</v>
      </c>
      <c r="C737" t="str">
        <v>Deuda</v>
      </c>
      <c r="D737" t="str">
        <v>Prestamo BCP</v>
      </c>
      <c r="E737">
        <v>143.16</v>
      </c>
      <c r="F737" t="str">
        <v>Interbank</v>
      </c>
      <c r="G737" t="str">
        <v>Setiembre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</row>
    <row r="738">
      <c r="A738" t="str">
        <v>Egreso</v>
      </c>
      <c r="B738">
        <v>46280</v>
      </c>
      <c r="C738" t="str">
        <v>Otro Egre</v>
      </c>
      <c r="D738" t="str">
        <v>Titulación</v>
      </c>
      <c r="E738">
        <v>80</v>
      </c>
      <c r="F738" t="str">
        <v>Interbank</v>
      </c>
      <c r="G738" t="str">
        <v>Setiembre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 t="str">
        <v>Egreso</v>
      </c>
      <c r="B739">
        <v>46288</v>
      </c>
      <c r="C739" t="str">
        <v>Servicio</v>
      </c>
      <c r="D739" t="str">
        <v>iCloud</v>
      </c>
      <c r="E739">
        <v>15</v>
      </c>
      <c r="F739" t="str">
        <v>Interbank</v>
      </c>
      <c r="G739" t="str">
        <v>Setiembre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</row>
    <row r="740">
      <c r="A740" t="str">
        <v>Ingreso</v>
      </c>
      <c r="B740">
        <v>46082</v>
      </c>
      <c r="C740" t="str">
        <v>Otro Ing</v>
      </c>
      <c r="D740" t="str">
        <v>Ahorro Diciembre 25</v>
      </c>
      <c r="E740">
        <v>3002</v>
      </c>
      <c r="F740" t="str">
        <v>Interbank</v>
      </c>
      <c r="G740" t="str">
        <v>Marzo</v>
      </c>
    </row>
  </sheetData>
  <ignoredErrors>
    <ignoredError numberStoredAsText="1" sqref="A1:M7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72"/>
  <sheetViews>
    <sheetView workbookViewId="0" rightToLeft="0"/>
  </sheetViews>
  <sheetData>
    <row r="1">
      <c r="A1" t="str">
        <v>Tipo</v>
      </c>
      <c r="B1" t="str">
        <v>Fecha</v>
      </c>
      <c r="C1" t="str">
        <v>Categoría</v>
      </c>
      <c r="D1" t="str">
        <v>Concepto</v>
      </c>
      <c r="E1" t="str">
        <v>Monto</v>
      </c>
      <c r="F1" t="str">
        <v>Entidad</v>
      </c>
      <c r="G1" t="str">
        <v>Mes</v>
      </c>
    </row>
    <row r="2">
      <c r="A2" t="str">
        <v>Ingreso</v>
      </c>
      <c r="B2">
        <v>46023</v>
      </c>
      <c r="C2" t="str">
        <v>Otro Ing</v>
      </c>
      <c r="D2" t="str">
        <v>Bonificación Ahorro</v>
      </c>
      <c r="E2">
        <v>32.02</v>
      </c>
      <c r="F2" t="str">
        <v>Interbank</v>
      </c>
      <c r="G2" t="str">
        <v>Enero</v>
      </c>
    </row>
    <row r="3">
      <c r="A3" t="str">
        <v>Egreso</v>
      </c>
      <c r="B3">
        <v>46023</v>
      </c>
      <c r="C3" t="str">
        <v>Deuda</v>
      </c>
      <c r="D3" t="str">
        <v>Pago de Tarjeta BBVA Bfree</v>
      </c>
      <c r="E3">
        <v>267.56</v>
      </c>
      <c r="F3" t="str">
        <v>Interbank</v>
      </c>
      <c r="G3" t="str">
        <v>Enero</v>
      </c>
    </row>
    <row r="4">
      <c r="A4" t="str">
        <v>Ingreso</v>
      </c>
      <c r="B4">
        <v>46023</v>
      </c>
      <c r="C4" t="str">
        <v>Tarjeta</v>
      </c>
      <c r="D4" t="str">
        <v>Linea Tarjeta</v>
      </c>
      <c r="E4">
        <v>379.4</v>
      </c>
      <c r="F4" t="str">
        <v>BBVA Bfree</v>
      </c>
      <c r="G4" t="str">
        <v>Enero</v>
      </c>
    </row>
    <row r="5">
      <c r="A5" t="str">
        <v>Egreso</v>
      </c>
      <c r="B5">
        <v>46023</v>
      </c>
      <c r="C5" t="str">
        <v>Gasto</v>
      </c>
      <c r="D5" t="str">
        <v>Makis</v>
      </c>
      <c r="E5">
        <v>36.5</v>
      </c>
      <c r="F5" t="str">
        <v>Interbank</v>
      </c>
      <c r="G5" t="str">
        <v>Enero</v>
      </c>
    </row>
    <row r="6">
      <c r="A6" t="str">
        <v>Egreso</v>
      </c>
      <c r="B6">
        <v>46023</v>
      </c>
      <c r="C6" t="str">
        <v>Gasto</v>
      </c>
      <c r="D6" t="str">
        <v>Taxi</v>
      </c>
      <c r="E6">
        <v>14.1</v>
      </c>
      <c r="F6" t="str">
        <v>BBVA Bfree</v>
      </c>
      <c r="G6" t="str">
        <v>Enero</v>
      </c>
    </row>
    <row r="7">
      <c r="A7" t="str">
        <v>Egreso</v>
      </c>
      <c r="B7">
        <v>46023</v>
      </c>
      <c r="C7" t="str">
        <v>Gasto</v>
      </c>
      <c r="D7" t="str">
        <v>Vino</v>
      </c>
      <c r="E7">
        <v>34</v>
      </c>
      <c r="F7" t="str">
        <v>Interbank</v>
      </c>
      <c r="G7" t="str">
        <v>Enero</v>
      </c>
    </row>
    <row r="8">
      <c r="A8" t="str">
        <v>Egreso</v>
      </c>
      <c r="B8">
        <v>46023</v>
      </c>
      <c r="C8" t="str">
        <v>Gasto</v>
      </c>
      <c r="D8" t="str">
        <v>Chifa</v>
      </c>
      <c r="E8">
        <v>36.5</v>
      </c>
      <c r="F8" t="str">
        <v>BBVA Bfree</v>
      </c>
      <c r="G8" t="str">
        <v>Enero</v>
      </c>
    </row>
    <row r="9">
      <c r="A9" t="str">
        <v>Egreso</v>
      </c>
      <c r="B9">
        <v>46023</v>
      </c>
      <c r="C9" t="str">
        <v>Servicio</v>
      </c>
      <c r="D9" t="str">
        <v>Gaseosa</v>
      </c>
      <c r="E9">
        <v>2.7</v>
      </c>
      <c r="F9" t="str">
        <v>BBVA Bfree</v>
      </c>
      <c r="G9" t="str">
        <v>Enero</v>
      </c>
    </row>
    <row r="10">
      <c r="A10" t="str">
        <v>Egreso</v>
      </c>
      <c r="B10">
        <v>46023</v>
      </c>
      <c r="C10" t="str">
        <v>Gasto</v>
      </c>
      <c r="D10" t="str">
        <v>Broaster</v>
      </c>
      <c r="E10">
        <v>15.9</v>
      </c>
      <c r="F10" t="str">
        <v>BBVA Bfree</v>
      </c>
      <c r="G10" t="str">
        <v>Enero</v>
      </c>
    </row>
    <row r="11">
      <c r="A11" t="str">
        <v>Egreso</v>
      </c>
      <c r="B11">
        <v>46023</v>
      </c>
      <c r="C11" t="str">
        <v>Gasto</v>
      </c>
      <c r="D11" t="str">
        <v>Chupete</v>
      </c>
      <c r="E11">
        <v>5</v>
      </c>
      <c r="F11" t="str">
        <v>Interbank</v>
      </c>
      <c r="G11" t="str">
        <v>Enero</v>
      </c>
    </row>
    <row r="12">
      <c r="A12" t="str">
        <v>Egreso</v>
      </c>
      <c r="B12">
        <v>46023</v>
      </c>
      <c r="C12" t="str">
        <v>Gasto</v>
      </c>
      <c r="D12" t="str">
        <v>Bus</v>
      </c>
      <c r="E12">
        <v>5</v>
      </c>
      <c r="F12" t="str">
        <v>Interbank</v>
      </c>
      <c r="G12" t="str">
        <v>Enero</v>
      </c>
    </row>
    <row r="13">
      <c r="A13" t="str">
        <v>Ingreso</v>
      </c>
      <c r="B13">
        <v>46023</v>
      </c>
      <c r="C13" t="str">
        <v>Sueldo</v>
      </c>
      <c r="D13" t="str">
        <v>Sueldo</v>
      </c>
      <c r="E13">
        <v>2073.06</v>
      </c>
      <c r="F13" t="str">
        <v>Interbank</v>
      </c>
      <c r="G13" t="str">
        <v>Enero</v>
      </c>
    </row>
    <row r="14">
      <c r="A14" t="str">
        <v>Egreso</v>
      </c>
      <c r="B14">
        <v>46023</v>
      </c>
      <c r="C14" t="str">
        <v>Gasto</v>
      </c>
      <c r="D14" t="str">
        <v>Concierto Bad Bunny</v>
      </c>
      <c r="E14">
        <v>550.46</v>
      </c>
      <c r="F14" t="str">
        <v>Interbank</v>
      </c>
      <c r="G14" t="str">
        <v>Enero</v>
      </c>
    </row>
    <row r="15">
      <c r="A15" t="str">
        <v>Egreso</v>
      </c>
      <c r="B15">
        <v>46023</v>
      </c>
      <c r="C15" t="str">
        <v>Gasto</v>
      </c>
      <c r="D15" t="str">
        <v>Broaster</v>
      </c>
      <c r="E15">
        <v>10</v>
      </c>
      <c r="F15" t="str">
        <v>Interbank</v>
      </c>
      <c r="G15" t="str">
        <v>Enero</v>
      </c>
    </row>
    <row r="16">
      <c r="A16" t="str">
        <v>Egreso</v>
      </c>
      <c r="B16">
        <v>46023</v>
      </c>
      <c r="C16" t="str">
        <v>Gasto</v>
      </c>
      <c r="D16" t="str">
        <v>Condones</v>
      </c>
      <c r="E16">
        <v>20.8</v>
      </c>
      <c r="F16" t="str">
        <v>BBVA Bfree</v>
      </c>
      <c r="G16" t="str">
        <v>Enero</v>
      </c>
    </row>
    <row r="17">
      <c r="A17" t="str">
        <v>Egreso</v>
      </c>
      <c r="B17">
        <v>46023</v>
      </c>
      <c r="C17" t="str">
        <v>Gasto</v>
      </c>
      <c r="D17" t="str">
        <v>Turron</v>
      </c>
      <c r="E17">
        <v>5</v>
      </c>
      <c r="F17" t="str">
        <v>Interbank</v>
      </c>
      <c r="G17" t="str">
        <v>Enero</v>
      </c>
    </row>
    <row r="18">
      <c r="A18" t="str">
        <v>Egreso</v>
      </c>
      <c r="B18">
        <v>46023</v>
      </c>
      <c r="C18" t="str">
        <v>Servicio</v>
      </c>
      <c r="D18" t="str">
        <v>Spotify</v>
      </c>
      <c r="E18">
        <v>11.9</v>
      </c>
      <c r="F18" t="str">
        <v>Interbank</v>
      </c>
      <c r="G18" t="str">
        <v>Enero</v>
      </c>
    </row>
    <row r="19">
      <c r="A19" t="str">
        <v>Egreso</v>
      </c>
      <c r="B19">
        <v>46023</v>
      </c>
      <c r="C19" t="str">
        <v>Servicio</v>
      </c>
      <c r="D19" t="str">
        <v>Internet</v>
      </c>
      <c r="E19">
        <v>79</v>
      </c>
      <c r="F19" t="str">
        <v>Interbank</v>
      </c>
      <c r="G19" t="str">
        <v>Enero</v>
      </c>
    </row>
    <row r="20">
      <c r="A20" t="str">
        <v>Egreso</v>
      </c>
      <c r="B20">
        <v>46023</v>
      </c>
      <c r="C20" t="str">
        <v>Servicio</v>
      </c>
      <c r="D20" t="str">
        <v>Luz</v>
      </c>
      <c r="E20">
        <v>104</v>
      </c>
      <c r="F20" t="str">
        <v>Interbank</v>
      </c>
      <c r="G20" t="str">
        <v>Enero</v>
      </c>
    </row>
    <row r="21">
      <c r="A21" t="str">
        <v>Egreso</v>
      </c>
      <c r="B21">
        <v>46023</v>
      </c>
      <c r="C21" t="str">
        <v>Servicio</v>
      </c>
      <c r="D21" t="str">
        <v>Gas</v>
      </c>
      <c r="E21">
        <v>29.3</v>
      </c>
      <c r="F21" t="str">
        <v>Interbank</v>
      </c>
      <c r="G21" t="str">
        <v>Enero</v>
      </c>
    </row>
    <row r="22">
      <c r="A22" t="str">
        <v>Egreso</v>
      </c>
      <c r="B22">
        <v>46023</v>
      </c>
      <c r="C22" t="str">
        <v>Servicio</v>
      </c>
      <c r="D22" t="str">
        <v>Agua + Mantenimiento</v>
      </c>
      <c r="E22">
        <v>128.08</v>
      </c>
      <c r="F22" t="str">
        <v>Interbank</v>
      </c>
      <c r="G22" t="str">
        <v>Enero</v>
      </c>
    </row>
    <row r="23">
      <c r="A23" t="str">
        <v>Egreso</v>
      </c>
      <c r="B23">
        <v>46023</v>
      </c>
      <c r="C23" t="str">
        <v>Gasto</v>
      </c>
      <c r="D23" t="str">
        <v>Makis</v>
      </c>
      <c r="E23">
        <v>100</v>
      </c>
      <c r="F23" t="str">
        <v>Interbank</v>
      </c>
      <c r="G23" t="str">
        <v>Enero</v>
      </c>
    </row>
    <row r="24">
      <c r="A24" t="str">
        <v>Egreso</v>
      </c>
      <c r="B24">
        <v>46023</v>
      </c>
      <c r="C24" t="str">
        <v>Gasto</v>
      </c>
      <c r="D24" t="str">
        <v>IA</v>
      </c>
      <c r="E24">
        <v>8</v>
      </c>
      <c r="F24" t="str">
        <v>Interbank</v>
      </c>
      <c r="G24" t="str">
        <v>Enero</v>
      </c>
    </row>
    <row r="25">
      <c r="A25" t="str">
        <v>Egreso</v>
      </c>
      <c r="B25">
        <v>46023</v>
      </c>
      <c r="C25" t="str">
        <v>Gasto</v>
      </c>
      <c r="D25" t="str">
        <v>Corte de Cabello</v>
      </c>
      <c r="E25">
        <v>20</v>
      </c>
      <c r="F25" t="str">
        <v>Interbank</v>
      </c>
      <c r="G25" t="str">
        <v>Enero</v>
      </c>
    </row>
    <row r="26">
      <c r="A26" t="str">
        <v>Egreso</v>
      </c>
      <c r="B26">
        <v>46024</v>
      </c>
      <c r="C26" t="str">
        <v>Gasto</v>
      </c>
      <c r="D26" t="str">
        <v>Cumpleaños Fatima</v>
      </c>
      <c r="E26">
        <v>59.4</v>
      </c>
      <c r="F26" t="str">
        <v>BBVA Bfree</v>
      </c>
      <c r="G26" t="str">
        <v>Enero</v>
      </c>
    </row>
    <row r="27">
      <c r="A27" t="str">
        <v>Egreso</v>
      </c>
      <c r="B27">
        <v>46024</v>
      </c>
      <c r="C27" t="str">
        <v>Gasto</v>
      </c>
      <c r="D27" t="str">
        <v>Broaster</v>
      </c>
      <c r="E27">
        <v>10</v>
      </c>
      <c r="F27" t="str">
        <v>Interbank</v>
      </c>
      <c r="G27" t="str">
        <v>Enero</v>
      </c>
    </row>
    <row r="28">
      <c r="A28" t="str">
        <v>Egreso</v>
      </c>
      <c r="B28">
        <v>46026</v>
      </c>
      <c r="C28" t="str">
        <v>Gasto</v>
      </c>
      <c r="D28" t="str">
        <v>Cumpleaños</v>
      </c>
      <c r="E28">
        <v>100.5</v>
      </c>
      <c r="F28" t="str">
        <v>Interbank</v>
      </c>
      <c r="G28" t="str">
        <v>Enero</v>
      </c>
    </row>
    <row r="29">
      <c r="A29" t="str">
        <v>Egreso</v>
      </c>
      <c r="B29">
        <v>46026</v>
      </c>
      <c r="C29" t="str">
        <v>Gasto</v>
      </c>
      <c r="D29" t="str">
        <v>Cumpleaños</v>
      </c>
      <c r="E29">
        <v>20</v>
      </c>
      <c r="F29" t="str">
        <v>BBVA Bfree</v>
      </c>
      <c r="G29" t="str">
        <v>Enero</v>
      </c>
    </row>
    <row r="30">
      <c r="A30" t="str">
        <v>Egreso</v>
      </c>
      <c r="B30">
        <v>46026</v>
      </c>
      <c r="C30" t="str">
        <v>Gasto</v>
      </c>
      <c r="D30" t="str">
        <v>Pollo a la Brasa</v>
      </c>
      <c r="E30">
        <v>110.8</v>
      </c>
      <c r="F30" t="str">
        <v>BBVA Bfree</v>
      </c>
      <c r="G30" t="str">
        <v>Enero</v>
      </c>
    </row>
    <row r="31">
      <c r="A31" t="str">
        <v>Ingreso</v>
      </c>
      <c r="B31">
        <v>46027</v>
      </c>
      <c r="C31" t="str">
        <v>Otro Ing</v>
      </c>
      <c r="D31" t="str">
        <v>Madre</v>
      </c>
      <c r="E31">
        <v>60.1</v>
      </c>
      <c r="F31" t="str">
        <v>Interbank</v>
      </c>
      <c r="G31" t="str">
        <v>Enero</v>
      </c>
    </row>
    <row r="32">
      <c r="A32" t="str">
        <v>Egreso</v>
      </c>
      <c r="B32">
        <v>46028</v>
      </c>
      <c r="C32" t="str">
        <v>Gasto</v>
      </c>
      <c r="D32" t="str">
        <v>Cumpleaños Fatima</v>
      </c>
      <c r="E32">
        <v>5</v>
      </c>
      <c r="F32" t="str">
        <v>Interbank</v>
      </c>
      <c r="G32" t="str">
        <v>Enero</v>
      </c>
    </row>
    <row r="33">
      <c r="A33" t="str">
        <v>Egreso</v>
      </c>
      <c r="B33">
        <v>46028</v>
      </c>
      <c r="C33" t="str">
        <v>Gasto</v>
      </c>
      <c r="D33" t="str">
        <v>Taxi</v>
      </c>
      <c r="E33">
        <v>18.6</v>
      </c>
      <c r="F33" t="str">
        <v>BBVA Bfree</v>
      </c>
      <c r="G33" t="str">
        <v>Enero</v>
      </c>
    </row>
    <row r="34">
      <c r="A34" t="str">
        <v>Egreso</v>
      </c>
      <c r="B34">
        <v>46028</v>
      </c>
      <c r="C34" t="str">
        <v>Servicio</v>
      </c>
      <c r="D34" t="str">
        <v>Gaseosa</v>
      </c>
      <c r="E34">
        <v>6.39</v>
      </c>
      <c r="F34" t="str">
        <v>BBVA Bfree</v>
      </c>
      <c r="G34" t="str">
        <v>Enero</v>
      </c>
    </row>
    <row r="35">
      <c r="A35" t="str">
        <v>Egreso</v>
      </c>
      <c r="B35">
        <v>46028</v>
      </c>
      <c r="C35" t="str">
        <v>Gasto</v>
      </c>
      <c r="D35" t="str">
        <v>Broaster</v>
      </c>
      <c r="E35">
        <v>12.2</v>
      </c>
      <c r="F35" t="str">
        <v>Interbank</v>
      </c>
      <c r="G35" t="str">
        <v>Enero</v>
      </c>
    </row>
    <row r="36">
      <c r="A36" t="str">
        <v>Egreso</v>
      </c>
      <c r="B36">
        <v>46030</v>
      </c>
      <c r="C36" t="str">
        <v>Gasto</v>
      </c>
      <c r="D36" t="str">
        <v>Broaster</v>
      </c>
      <c r="E36">
        <v>20</v>
      </c>
      <c r="F36" t="str">
        <v>Interbank</v>
      </c>
      <c r="G36" t="str">
        <v>Enero</v>
      </c>
    </row>
    <row r="37">
      <c r="A37" t="str">
        <v>Egreso</v>
      </c>
      <c r="B37">
        <v>46032</v>
      </c>
      <c r="C37" t="str">
        <v>Gasto</v>
      </c>
      <c r="D37" t="str">
        <v>Desvagramen</v>
      </c>
      <c r="E37">
        <v>15.71</v>
      </c>
      <c r="F37" t="str">
        <v>BBVA Bfree</v>
      </c>
      <c r="G37" t="str">
        <v>Enero</v>
      </c>
    </row>
    <row r="38">
      <c r="A38" t="str">
        <v>Egreso</v>
      </c>
      <c r="B38">
        <v>46032</v>
      </c>
      <c r="C38" t="str">
        <v>Gasto</v>
      </c>
      <c r="D38" t="str">
        <v>Broaster</v>
      </c>
      <c r="E38">
        <v>10</v>
      </c>
      <c r="F38" t="str">
        <v>Interbank</v>
      </c>
      <c r="G38" t="str">
        <v>Enero</v>
      </c>
    </row>
    <row r="39">
      <c r="A39" t="str">
        <v>Egreso</v>
      </c>
      <c r="B39">
        <v>46033</v>
      </c>
      <c r="C39" t="str">
        <v>Gasto</v>
      </c>
      <c r="D39" t="str">
        <v>Shawarma</v>
      </c>
      <c r="E39">
        <v>10</v>
      </c>
      <c r="F39" t="str">
        <v>Interbank</v>
      </c>
      <c r="G39" t="str">
        <v>Enero</v>
      </c>
    </row>
    <row r="40">
      <c r="A40" t="str">
        <v>Egreso</v>
      </c>
      <c r="B40">
        <v>46033</v>
      </c>
      <c r="C40" t="str">
        <v>Gasto</v>
      </c>
      <c r="D40" t="str">
        <v>Alcohol</v>
      </c>
      <c r="E40">
        <v>10</v>
      </c>
      <c r="F40" t="str">
        <v>Interbank</v>
      </c>
      <c r="G40" t="str">
        <v>Enero</v>
      </c>
    </row>
    <row r="41">
      <c r="A41" t="str">
        <v>Egreso</v>
      </c>
      <c r="B41">
        <v>46033</v>
      </c>
      <c r="C41" t="str">
        <v>Gasto</v>
      </c>
      <c r="D41" t="str">
        <v>Broaster</v>
      </c>
      <c r="E41">
        <v>19.09</v>
      </c>
      <c r="F41" t="str">
        <v>Interbank</v>
      </c>
      <c r="G41" t="str">
        <v>Enero</v>
      </c>
    </row>
    <row r="42">
      <c r="A42" t="str">
        <v>Egreso</v>
      </c>
      <c r="B42">
        <v>46034</v>
      </c>
      <c r="C42" t="str">
        <v>Gasto</v>
      </c>
      <c r="D42" t="str">
        <v>Broaster</v>
      </c>
      <c r="E42">
        <v>10</v>
      </c>
      <c r="F42" t="str">
        <v>Interbank</v>
      </c>
      <c r="G42" t="str">
        <v>Enero</v>
      </c>
    </row>
    <row r="43">
      <c r="A43" t="str">
        <v>Egreso</v>
      </c>
      <c r="B43">
        <v>46035</v>
      </c>
      <c r="C43" t="str">
        <v>Gasto</v>
      </c>
      <c r="D43" t="str">
        <v>Camisa</v>
      </c>
      <c r="E43">
        <v>90.9</v>
      </c>
      <c r="F43" t="str">
        <v>Interbank</v>
      </c>
      <c r="G43" t="str">
        <v>Enero</v>
      </c>
    </row>
    <row r="44">
      <c r="A44" t="str">
        <v>Egreso</v>
      </c>
      <c r="B44">
        <v>46036</v>
      </c>
      <c r="C44" t="str">
        <v>Servicio</v>
      </c>
      <c r="D44" t="str">
        <v>iCloud</v>
      </c>
      <c r="E44">
        <v>4.02</v>
      </c>
      <c r="F44" t="str">
        <v>Interbank</v>
      </c>
      <c r="G44" t="str">
        <v>Enero</v>
      </c>
    </row>
    <row r="45">
      <c r="A45" t="str">
        <v>Egreso</v>
      </c>
      <c r="B45">
        <v>46036</v>
      </c>
      <c r="C45" t="str">
        <v>Gasto</v>
      </c>
      <c r="D45" t="str">
        <v>Broaster</v>
      </c>
      <c r="E45">
        <v>9</v>
      </c>
      <c r="F45" t="str">
        <v>Interbank</v>
      </c>
      <c r="G45" t="str">
        <v>Enero</v>
      </c>
    </row>
    <row r="46">
      <c r="A46" t="str">
        <v>Egreso</v>
      </c>
      <c r="B46">
        <v>46037</v>
      </c>
      <c r="C46" t="str">
        <v>Servicio</v>
      </c>
      <c r="D46" t="str">
        <v>Telefonia Movil</v>
      </c>
      <c r="E46">
        <v>39.9</v>
      </c>
      <c r="F46" t="str">
        <v>Interbank</v>
      </c>
      <c r="G46" t="str">
        <v>Enero</v>
      </c>
    </row>
    <row r="47">
      <c r="A47" t="str">
        <v>Egreso</v>
      </c>
      <c r="B47">
        <v>46037</v>
      </c>
      <c r="C47" t="str">
        <v>Deuda</v>
      </c>
      <c r="D47" t="str">
        <v>Yape Crédito</v>
      </c>
      <c r="E47">
        <v>60.36</v>
      </c>
      <c r="F47" t="str">
        <v>Interbank</v>
      </c>
      <c r="G47" t="str">
        <v>Enero</v>
      </c>
    </row>
    <row r="48">
      <c r="A48" t="str">
        <v>Egreso</v>
      </c>
      <c r="B48">
        <v>46037</v>
      </c>
      <c r="C48" t="str">
        <v>Gasto</v>
      </c>
      <c r="D48" t="str">
        <v>Shawarma</v>
      </c>
      <c r="E48">
        <v>10</v>
      </c>
      <c r="F48" t="str">
        <v>Interbank</v>
      </c>
      <c r="G48" t="str">
        <v>Enero</v>
      </c>
    </row>
    <row r="49">
      <c r="A49" t="str">
        <v>Egreso</v>
      </c>
      <c r="B49">
        <v>46039</v>
      </c>
      <c r="C49" t="str">
        <v>Gasto</v>
      </c>
      <c r="D49" t="str">
        <v>Gorra</v>
      </c>
      <c r="E49">
        <v>30</v>
      </c>
      <c r="F49" t="str">
        <v>Interbank</v>
      </c>
      <c r="G49" t="str">
        <v>Enero</v>
      </c>
    </row>
    <row r="50">
      <c r="A50" t="str">
        <v>Egreso</v>
      </c>
      <c r="B50">
        <v>46039</v>
      </c>
      <c r="C50" t="str">
        <v>Gasto</v>
      </c>
      <c r="D50" t="str">
        <v>Taxi</v>
      </c>
      <c r="E50">
        <v>20</v>
      </c>
      <c r="F50" t="str">
        <v>Interbank</v>
      </c>
      <c r="G50" t="str">
        <v>Enero</v>
      </c>
    </row>
    <row r="51">
      <c r="A51" t="str">
        <v>Egreso</v>
      </c>
      <c r="B51">
        <v>46039</v>
      </c>
      <c r="C51" t="str">
        <v>Gasto</v>
      </c>
      <c r="D51" t="str">
        <v>Cerveza</v>
      </c>
      <c r="E51">
        <v>16.5</v>
      </c>
      <c r="F51" t="str">
        <v>Interbank</v>
      </c>
      <c r="G51" t="str">
        <v>Enero</v>
      </c>
    </row>
    <row r="52">
      <c r="A52" t="str">
        <v>Egreso</v>
      </c>
      <c r="B52">
        <v>46039</v>
      </c>
      <c r="C52" t="str">
        <v>Gasto</v>
      </c>
      <c r="D52" t="str">
        <v>Broaster</v>
      </c>
      <c r="E52">
        <v>20</v>
      </c>
      <c r="F52" t="str">
        <v>Interbank</v>
      </c>
      <c r="G52" t="str">
        <v>Enero</v>
      </c>
    </row>
    <row r="53">
      <c r="A53" t="str">
        <v>Egreso</v>
      </c>
      <c r="B53">
        <v>46039</v>
      </c>
      <c r="C53" t="str">
        <v>Gasto</v>
      </c>
      <c r="D53" t="str">
        <v>Cerveza</v>
      </c>
      <c r="E53">
        <v>32.3</v>
      </c>
      <c r="F53" t="str">
        <v>BBVA Bfree</v>
      </c>
      <c r="G53" t="str">
        <v>Enero</v>
      </c>
    </row>
    <row r="54">
      <c r="A54" t="str">
        <v>Egreso</v>
      </c>
      <c r="B54">
        <v>46039</v>
      </c>
      <c r="C54" t="str">
        <v>Gasto</v>
      </c>
      <c r="D54" t="str">
        <v>Bus</v>
      </c>
      <c r="E54">
        <v>2.5</v>
      </c>
      <c r="F54" t="str">
        <v>Interbank</v>
      </c>
      <c r="G54" t="str">
        <v>Enero</v>
      </c>
    </row>
    <row r="55">
      <c r="A55" t="str">
        <v>Egreso</v>
      </c>
      <c r="B55">
        <v>46039</v>
      </c>
      <c r="C55" t="str">
        <v>Gasto</v>
      </c>
      <c r="D55" t="str">
        <v>In Game</v>
      </c>
      <c r="E55">
        <v>18</v>
      </c>
      <c r="F55" t="str">
        <v>Interbank</v>
      </c>
      <c r="G55" t="str">
        <v>Enero</v>
      </c>
    </row>
    <row r="56">
      <c r="A56" t="str">
        <v>Egreso</v>
      </c>
      <c r="B56">
        <v>46039</v>
      </c>
      <c r="C56" t="str">
        <v>Gasto</v>
      </c>
      <c r="D56" t="str">
        <v>Makis</v>
      </c>
      <c r="E56">
        <v>71</v>
      </c>
      <c r="F56" t="str">
        <v>Interbank</v>
      </c>
      <c r="G56" t="str">
        <v>Enero</v>
      </c>
    </row>
    <row r="57">
      <c r="A57" t="str">
        <v>Egreso</v>
      </c>
      <c r="B57">
        <v>46039</v>
      </c>
      <c r="C57" t="str">
        <v>Servicio</v>
      </c>
      <c r="D57" t="str">
        <v>Gaseosa</v>
      </c>
      <c r="E57">
        <v>7.09</v>
      </c>
      <c r="F57" t="str">
        <v>BBVA Bfree</v>
      </c>
      <c r="G57" t="str">
        <v>Enero</v>
      </c>
    </row>
    <row r="58">
      <c r="A58" t="str">
        <v>Egreso</v>
      </c>
      <c r="B58">
        <v>46039</v>
      </c>
      <c r="C58" t="str">
        <v>Servicio</v>
      </c>
      <c r="D58" t="str">
        <v>Gaseosa</v>
      </c>
      <c r="E58">
        <v>3</v>
      </c>
      <c r="F58" t="str">
        <v>BBVA Bfree</v>
      </c>
      <c r="G58" t="str">
        <v>Enero</v>
      </c>
    </row>
    <row r="59">
      <c r="A59" t="str">
        <v>Egreso</v>
      </c>
      <c r="B59">
        <v>46041</v>
      </c>
      <c r="C59" t="str">
        <v>Gasto</v>
      </c>
      <c r="D59" t="str">
        <v>Futbol</v>
      </c>
      <c r="E59">
        <v>12.36</v>
      </c>
      <c r="F59" t="str">
        <v>Interbank</v>
      </c>
      <c r="G59" t="str">
        <v>Enero</v>
      </c>
    </row>
    <row r="60">
      <c r="A60" t="str">
        <v>Egreso</v>
      </c>
      <c r="B60">
        <v>46043</v>
      </c>
      <c r="C60" t="str">
        <v>Gasto</v>
      </c>
      <c r="D60" t="str">
        <v>Tacos</v>
      </c>
      <c r="E60">
        <v>55</v>
      </c>
      <c r="F60" t="str">
        <v>Interbank</v>
      </c>
      <c r="G60" t="str">
        <v>Enero</v>
      </c>
    </row>
    <row r="61">
      <c r="A61" t="str">
        <v>Egreso</v>
      </c>
      <c r="B61">
        <v>46043</v>
      </c>
      <c r="C61" t="str">
        <v>Gasto</v>
      </c>
      <c r="D61" t="str">
        <v>Bus</v>
      </c>
      <c r="E61">
        <v>6.25</v>
      </c>
      <c r="F61" t="str">
        <v>Interbank</v>
      </c>
      <c r="G61" t="str">
        <v>Enero</v>
      </c>
    </row>
    <row r="62">
      <c r="A62" t="str">
        <v>Egreso</v>
      </c>
      <c r="B62">
        <v>46043</v>
      </c>
      <c r="C62" t="str">
        <v>Gasto</v>
      </c>
      <c r="D62" t="str">
        <v>FourLoko</v>
      </c>
      <c r="E62">
        <v>9.19</v>
      </c>
      <c r="F62" t="str">
        <v>BBVA Bfree</v>
      </c>
      <c r="G62" t="str">
        <v>Enero</v>
      </c>
    </row>
    <row r="63">
      <c r="A63" t="str">
        <v>Egreso</v>
      </c>
      <c r="B63">
        <v>46044</v>
      </c>
      <c r="C63" t="str">
        <v>Servicio</v>
      </c>
      <c r="D63" t="str">
        <v>Gaseosa</v>
      </c>
      <c r="E63">
        <v>2.29</v>
      </c>
      <c r="F63" t="str">
        <v>BBVA Bfree</v>
      </c>
      <c r="G63" t="str">
        <v>Enero</v>
      </c>
    </row>
    <row r="64">
      <c r="A64" t="str">
        <v>Egreso</v>
      </c>
      <c r="B64">
        <v>46044</v>
      </c>
      <c r="C64" t="str">
        <v>Gasto</v>
      </c>
      <c r="D64" t="str">
        <v>Bus</v>
      </c>
      <c r="E64">
        <v>5.5</v>
      </c>
      <c r="F64" t="str">
        <v>Interbank</v>
      </c>
      <c r="G64" t="str">
        <v>Enero</v>
      </c>
    </row>
    <row r="65">
      <c r="A65" t="str">
        <v>Egreso</v>
      </c>
      <c r="B65">
        <v>46044</v>
      </c>
      <c r="C65" t="str">
        <v>Gasto</v>
      </c>
      <c r="D65" t="str">
        <v>Bus</v>
      </c>
      <c r="E65">
        <v>5.5</v>
      </c>
      <c r="F65" t="str">
        <v>Interbank</v>
      </c>
      <c r="G65" t="str">
        <v>Enero</v>
      </c>
    </row>
    <row r="66">
      <c r="A66" t="str">
        <v>Egreso</v>
      </c>
      <c r="B66">
        <v>46044</v>
      </c>
      <c r="C66" t="str">
        <v>Gasto</v>
      </c>
      <c r="D66" t="str">
        <v>Futbol</v>
      </c>
      <c r="E66">
        <v>10</v>
      </c>
      <c r="F66" t="str">
        <v>Interbank</v>
      </c>
      <c r="G66" t="str">
        <v>Enero</v>
      </c>
    </row>
    <row r="67">
      <c r="A67" t="str">
        <v>Egreso</v>
      </c>
      <c r="B67">
        <v>46045</v>
      </c>
      <c r="C67" t="str">
        <v>Gasto</v>
      </c>
      <c r="D67" t="str">
        <v>Futbol</v>
      </c>
      <c r="E67">
        <v>9.4</v>
      </c>
      <c r="F67" t="str">
        <v>Interbank</v>
      </c>
      <c r="G67" t="str">
        <v>Enero</v>
      </c>
    </row>
    <row r="68">
      <c r="A68" t="str">
        <v>Egreso</v>
      </c>
      <c r="B68">
        <v>46045</v>
      </c>
      <c r="C68" t="str">
        <v>Gasto</v>
      </c>
      <c r="D68" t="str">
        <v>Broaster</v>
      </c>
      <c r="E68">
        <v>9</v>
      </c>
      <c r="F68" t="str">
        <v>Interbank</v>
      </c>
      <c r="G68" t="str">
        <v>Enero</v>
      </c>
    </row>
    <row r="69">
      <c r="A69" t="str">
        <v>Egreso</v>
      </c>
      <c r="B69">
        <v>46047</v>
      </c>
      <c r="C69" t="str">
        <v>Gasto</v>
      </c>
      <c r="D69" t="str">
        <v>Mercado</v>
      </c>
      <c r="E69">
        <v>12.5</v>
      </c>
      <c r="F69" t="str">
        <v>Interbank</v>
      </c>
      <c r="G69" t="str">
        <v>Enero</v>
      </c>
    </row>
    <row r="70">
      <c r="A70" t="str">
        <v>Egreso</v>
      </c>
      <c r="B70">
        <v>46054</v>
      </c>
      <c r="C70" t="str">
        <v>Gasto</v>
      </c>
      <c r="D70" t="str">
        <v>Broaster</v>
      </c>
      <c r="E70">
        <v>51</v>
      </c>
      <c r="F70" t="str">
        <v>Interbank</v>
      </c>
      <c r="G70" t="str">
        <v>Febrero</v>
      </c>
    </row>
    <row r="71">
      <c r="A71" t="str">
        <v>Ingreso</v>
      </c>
      <c r="B71">
        <v>46054</v>
      </c>
      <c r="C71" t="str">
        <v>Otro Ing</v>
      </c>
      <c r="D71" t="str">
        <v>Bonificación Ahorro</v>
      </c>
      <c r="E71">
        <v>46.9</v>
      </c>
      <c r="F71" t="str">
        <v>Interbank</v>
      </c>
      <c r="G71" t="str">
        <v>Febrero</v>
      </c>
    </row>
    <row r="72">
      <c r="A72" t="str">
        <v>Ingreso</v>
      </c>
      <c r="B72">
        <v>46054</v>
      </c>
      <c r="C72" t="str">
        <v>Sueldo</v>
      </c>
      <c r="D72" t="str">
        <v>Sueldo</v>
      </c>
      <c r="E72">
        <v>2073.06</v>
      </c>
      <c r="F72" t="str">
        <v>Interbank</v>
      </c>
      <c r="G72" t="str">
        <v>Febrero</v>
      </c>
    </row>
    <row r="73">
      <c r="A73" t="str">
        <v>Egreso</v>
      </c>
      <c r="B73">
        <v>46054</v>
      </c>
      <c r="C73" t="str">
        <v>Deuda</v>
      </c>
      <c r="D73" t="str">
        <v>Pago de Tarjeta BBVA Bfree</v>
      </c>
      <c r="E73">
        <v>481</v>
      </c>
      <c r="F73" t="str">
        <v>Interbank</v>
      </c>
      <c r="G73" t="str">
        <v>Febrero</v>
      </c>
    </row>
    <row r="74">
      <c r="A74" t="str">
        <v>Ingreso</v>
      </c>
      <c r="B74">
        <v>46054</v>
      </c>
      <c r="C74" t="str">
        <v>Tarjeta</v>
      </c>
      <c r="D74" t="str">
        <v>Linea Tarjeta</v>
      </c>
      <c r="E74">
        <v>500</v>
      </c>
      <c r="F74" t="str">
        <v>BBVA Bfree</v>
      </c>
      <c r="G74" t="str">
        <v>Febrero</v>
      </c>
    </row>
    <row r="75">
      <c r="A75" t="str">
        <v>Egreso</v>
      </c>
      <c r="B75">
        <v>46054</v>
      </c>
      <c r="C75" t="str">
        <v>Servicio</v>
      </c>
      <c r="D75" t="str">
        <v>Internet</v>
      </c>
      <c r="E75">
        <v>79</v>
      </c>
      <c r="F75" t="str">
        <v>BBVA Bfree</v>
      </c>
      <c r="G75" t="str">
        <v>Febrero</v>
      </c>
    </row>
    <row r="76">
      <c r="A76" t="str">
        <v>Egreso</v>
      </c>
      <c r="B76">
        <v>46054</v>
      </c>
      <c r="C76" t="str">
        <v>Servicio</v>
      </c>
      <c r="D76" t="str">
        <v>Luz</v>
      </c>
      <c r="E76">
        <v>134.5</v>
      </c>
      <c r="F76" t="str">
        <v>BBVA Bfree</v>
      </c>
      <c r="G76" t="str">
        <v>Febrero</v>
      </c>
    </row>
    <row r="77">
      <c r="A77" t="str">
        <v>Egreso</v>
      </c>
      <c r="B77">
        <v>46054</v>
      </c>
      <c r="C77" t="str">
        <v>Servicio</v>
      </c>
      <c r="D77" t="str">
        <v>Gas</v>
      </c>
      <c r="E77">
        <v>19.1</v>
      </c>
      <c r="F77" t="str">
        <v>BBVA Bfree</v>
      </c>
      <c r="G77" t="str">
        <v>Febrero</v>
      </c>
    </row>
    <row r="78">
      <c r="A78" t="str">
        <v>Egreso</v>
      </c>
      <c r="B78">
        <v>46054</v>
      </c>
      <c r="C78" t="str">
        <v>Gasto</v>
      </c>
      <c r="D78" t="str">
        <v>Corte de Cabello</v>
      </c>
      <c r="E78">
        <v>20</v>
      </c>
      <c r="F78" t="str">
        <v>Interbank</v>
      </c>
      <c r="G78" t="str">
        <v>Febrero</v>
      </c>
    </row>
    <row r="79">
      <c r="A79" t="str">
        <v>Egreso</v>
      </c>
      <c r="B79">
        <v>46054</v>
      </c>
      <c r="C79" t="str">
        <v>Servicio</v>
      </c>
      <c r="D79" t="str">
        <v>Agua + Mantenimiento</v>
      </c>
      <c r="E79">
        <v>107.3</v>
      </c>
      <c r="F79" t="str">
        <v>Interbank</v>
      </c>
      <c r="G79" t="str">
        <v>Febrero</v>
      </c>
    </row>
    <row r="80">
      <c r="A80" t="str">
        <v>Egreso</v>
      </c>
      <c r="B80">
        <v>46054</v>
      </c>
      <c r="C80" t="str">
        <v>Gasto</v>
      </c>
      <c r="D80" t="str">
        <v>Viaje Argentina</v>
      </c>
      <c r="E80">
        <v>600</v>
      </c>
      <c r="F80" t="str">
        <v>Interbank</v>
      </c>
      <c r="G80" t="str">
        <v>Febrero</v>
      </c>
    </row>
    <row r="81">
      <c r="A81" t="str">
        <v>Egreso</v>
      </c>
      <c r="B81">
        <v>46054</v>
      </c>
      <c r="C81" t="str">
        <v>Gasto</v>
      </c>
      <c r="D81" t="str">
        <v>Condones</v>
      </c>
      <c r="E81">
        <v>4.9</v>
      </c>
      <c r="F81" t="str">
        <v>Interbank</v>
      </c>
      <c r="G81" t="str">
        <v>Febrero</v>
      </c>
    </row>
    <row r="82">
      <c r="A82" t="str">
        <v>Egreso</v>
      </c>
      <c r="B82">
        <v>46054</v>
      </c>
      <c r="C82" t="str">
        <v>Gasto</v>
      </c>
      <c r="D82" t="str">
        <v>Broaster</v>
      </c>
      <c r="E82">
        <v>19.5</v>
      </c>
      <c r="F82" t="str">
        <v>Interbank</v>
      </c>
      <c r="G82" t="str">
        <v>Febrero</v>
      </c>
    </row>
    <row r="83">
      <c r="A83" t="str">
        <v>Egreso</v>
      </c>
      <c r="B83">
        <v>46054</v>
      </c>
      <c r="C83" t="str">
        <v>Gasto</v>
      </c>
      <c r="D83" t="str">
        <v>Mercado</v>
      </c>
      <c r="E83">
        <v>14</v>
      </c>
      <c r="F83" t="str">
        <v>Interbank</v>
      </c>
      <c r="G83" t="str">
        <v>Febrero</v>
      </c>
    </row>
    <row r="84">
      <c r="A84" t="str">
        <v>Egreso</v>
      </c>
      <c r="B84">
        <v>46054</v>
      </c>
      <c r="C84" t="str">
        <v>Gasto</v>
      </c>
      <c r="D84" t="str">
        <v>Detergente</v>
      </c>
      <c r="E84">
        <v>0.5</v>
      </c>
      <c r="F84" t="str">
        <v>Interbank</v>
      </c>
      <c r="G84" t="str">
        <v>Febrero</v>
      </c>
    </row>
    <row r="85">
      <c r="A85" t="str">
        <v>Egreso</v>
      </c>
      <c r="B85">
        <v>46054</v>
      </c>
      <c r="C85" t="str">
        <v>Gasto</v>
      </c>
      <c r="D85" t="str">
        <v>Papel Higiénico</v>
      </c>
      <c r="E85">
        <v>0.5</v>
      </c>
      <c r="F85" t="str">
        <v>Interbank</v>
      </c>
      <c r="G85" t="str">
        <v>Febrero</v>
      </c>
    </row>
    <row r="86">
      <c r="A86" t="str">
        <v>Egreso</v>
      </c>
      <c r="B86">
        <v>46054</v>
      </c>
      <c r="C86" t="str">
        <v>Gasto</v>
      </c>
      <c r="D86" t="str">
        <v>Pasta Dental</v>
      </c>
      <c r="E86">
        <v>0.5</v>
      </c>
      <c r="F86" t="str">
        <v>Interbank</v>
      </c>
      <c r="G86" t="str">
        <v>Febrero</v>
      </c>
    </row>
    <row r="87">
      <c r="A87" t="str">
        <v>Egreso</v>
      </c>
      <c r="B87">
        <v>46054</v>
      </c>
      <c r="C87" t="str">
        <v>Gasto</v>
      </c>
      <c r="D87" t="str">
        <v>Papa Rellena</v>
      </c>
      <c r="E87">
        <v>7</v>
      </c>
      <c r="F87" t="str">
        <v>Interbank</v>
      </c>
      <c r="G87" t="str">
        <v>Febrero</v>
      </c>
    </row>
    <row r="88">
      <c r="A88" t="str">
        <v>Egreso</v>
      </c>
      <c r="B88">
        <v>46054</v>
      </c>
      <c r="C88" t="str">
        <v>Otro Egre</v>
      </c>
      <c r="D88" t="str">
        <v>Pasaporte</v>
      </c>
      <c r="E88">
        <v>120.9</v>
      </c>
      <c r="F88" t="str">
        <v>Interbank</v>
      </c>
      <c r="G88" t="str">
        <v>Febrero</v>
      </c>
    </row>
    <row r="89">
      <c r="A89" t="str">
        <v>Egreso</v>
      </c>
      <c r="B89">
        <v>46054</v>
      </c>
      <c r="C89" t="str">
        <v>Gasto</v>
      </c>
      <c r="D89" t="str">
        <v>Broaster</v>
      </c>
      <c r="E89">
        <v>20</v>
      </c>
      <c r="F89" t="str">
        <v>Interbank</v>
      </c>
      <c r="G89" t="str">
        <v>Febrero</v>
      </c>
    </row>
    <row r="90">
      <c r="A90" t="str">
        <v>Egreso</v>
      </c>
      <c r="B90">
        <v>46054</v>
      </c>
      <c r="C90" t="str">
        <v>Gasto</v>
      </c>
      <c r="D90" t="str">
        <v>Menú</v>
      </c>
      <c r="E90">
        <v>11</v>
      </c>
      <c r="F90" t="str">
        <v>Interbank</v>
      </c>
      <c r="G90" t="str">
        <v>Febrero</v>
      </c>
    </row>
    <row r="91">
      <c r="A91" t="str">
        <v>Egreso</v>
      </c>
      <c r="B91">
        <v>46054</v>
      </c>
      <c r="C91" t="str">
        <v>Gasto</v>
      </c>
      <c r="D91" t="str">
        <v>Broaster</v>
      </c>
      <c r="E91">
        <v>10</v>
      </c>
      <c r="F91" t="str">
        <v>Interbank</v>
      </c>
      <c r="G91" t="str">
        <v>Febrero</v>
      </c>
    </row>
    <row r="92">
      <c r="A92" t="str">
        <v>Egreso</v>
      </c>
      <c r="B92">
        <v>46054</v>
      </c>
      <c r="C92" t="str">
        <v>Gasto</v>
      </c>
      <c r="D92" t="str">
        <v>Detergente</v>
      </c>
      <c r="E92">
        <v>1.1</v>
      </c>
      <c r="F92" t="str">
        <v>Interbank</v>
      </c>
      <c r="G92" t="str">
        <v>Febrero</v>
      </c>
    </row>
    <row r="93">
      <c r="A93" t="str">
        <v>Egreso</v>
      </c>
      <c r="B93">
        <v>46054</v>
      </c>
      <c r="C93" t="str">
        <v>Gasto</v>
      </c>
      <c r="D93" t="str">
        <v>Papel Higiénico</v>
      </c>
      <c r="E93">
        <v>1.1</v>
      </c>
      <c r="F93" t="str">
        <v>Interbank</v>
      </c>
      <c r="G93" t="str">
        <v>Febrero</v>
      </c>
    </row>
    <row r="94">
      <c r="A94" t="str">
        <v>Egreso</v>
      </c>
      <c r="B94">
        <v>46054</v>
      </c>
      <c r="C94" t="str">
        <v>Gasto</v>
      </c>
      <c r="D94" t="str">
        <v>Pasta Dental</v>
      </c>
      <c r="E94">
        <v>1.1</v>
      </c>
      <c r="F94" t="str">
        <v>Interbank</v>
      </c>
      <c r="G94" t="str">
        <v>Febrero</v>
      </c>
    </row>
    <row r="95">
      <c r="A95" t="str">
        <v>Egreso</v>
      </c>
      <c r="B95">
        <v>46054</v>
      </c>
      <c r="C95" t="str">
        <v>Gasto</v>
      </c>
      <c r="D95" t="str">
        <v>Bus</v>
      </c>
      <c r="E95">
        <v>3</v>
      </c>
      <c r="F95" t="str">
        <v>Interbank</v>
      </c>
      <c r="G95" t="str">
        <v>Febrero</v>
      </c>
    </row>
    <row r="96">
      <c r="A96" t="str">
        <v>Egreso</v>
      </c>
      <c r="B96">
        <v>46054</v>
      </c>
      <c r="C96" t="str">
        <v>Gasto</v>
      </c>
      <c r="D96" t="str">
        <v>Empanada</v>
      </c>
      <c r="E96">
        <v>10.3</v>
      </c>
      <c r="F96" t="str">
        <v>BBVA Bfree</v>
      </c>
      <c r="G96" t="str">
        <v>Febrero</v>
      </c>
    </row>
    <row r="97">
      <c r="A97" t="str">
        <v>Egreso</v>
      </c>
      <c r="B97">
        <v>46054</v>
      </c>
      <c r="C97" t="str">
        <v>Otro Egre</v>
      </c>
      <c r="D97" t="str">
        <v>DNI Electronico</v>
      </c>
      <c r="E97">
        <v>30</v>
      </c>
      <c r="F97" t="str">
        <v>Interbank</v>
      </c>
      <c r="G97" t="str">
        <v>Febrero</v>
      </c>
    </row>
    <row r="98">
      <c r="A98" t="str">
        <v>Egreso</v>
      </c>
      <c r="B98">
        <v>46054</v>
      </c>
      <c r="C98" t="str">
        <v>Gasto</v>
      </c>
      <c r="D98" t="str">
        <v>Bus</v>
      </c>
      <c r="E98">
        <v>3</v>
      </c>
      <c r="F98" t="str">
        <v>Interbank</v>
      </c>
      <c r="G98" t="str">
        <v>Febrero</v>
      </c>
    </row>
    <row r="99">
      <c r="A99" t="str">
        <v>Egreso</v>
      </c>
      <c r="B99">
        <v>46054</v>
      </c>
      <c r="C99" t="str">
        <v>Servicio</v>
      </c>
      <c r="D99" t="str">
        <v>Agua Mineral</v>
      </c>
      <c r="E99">
        <v>2.69</v>
      </c>
      <c r="F99" t="str">
        <v>BBVA Bfree</v>
      </c>
      <c r="G99" t="str">
        <v>Febrero</v>
      </c>
    </row>
    <row r="100">
      <c r="A100" t="str">
        <v>Egreso</v>
      </c>
      <c r="B100">
        <v>46054</v>
      </c>
      <c r="C100" t="str">
        <v>Servicio</v>
      </c>
      <c r="D100" t="str">
        <v>Gaseosa</v>
      </c>
      <c r="E100">
        <v>9</v>
      </c>
      <c r="F100" t="str">
        <v>Interbank</v>
      </c>
      <c r="G100" t="str">
        <v>Febrero</v>
      </c>
    </row>
    <row r="101">
      <c r="A101" t="str">
        <v>Egreso</v>
      </c>
      <c r="B101">
        <v>46054</v>
      </c>
      <c r="C101" t="str">
        <v>Gasto</v>
      </c>
      <c r="D101" t="str">
        <v>Chicharron</v>
      </c>
      <c r="E101">
        <v>22</v>
      </c>
      <c r="F101" t="str">
        <v>Interbank</v>
      </c>
      <c r="G101" t="str">
        <v>Febrero</v>
      </c>
    </row>
    <row r="102">
      <c r="A102" t="str">
        <v>Egreso</v>
      </c>
      <c r="B102">
        <v>46054</v>
      </c>
      <c r="C102" t="str">
        <v>Gasto</v>
      </c>
      <c r="D102" t="str">
        <v>Chifa</v>
      </c>
      <c r="E102">
        <v>59.3</v>
      </c>
      <c r="F102" t="str">
        <v>BBVA Bfree</v>
      </c>
      <c r="G102" t="str">
        <v>Febrero</v>
      </c>
    </row>
    <row r="103">
      <c r="A103" t="str">
        <v>Egreso</v>
      </c>
      <c r="B103">
        <v>46054</v>
      </c>
      <c r="C103" t="str">
        <v>Gasto</v>
      </c>
      <c r="D103" t="str">
        <v>Propina</v>
      </c>
      <c r="E103">
        <v>5</v>
      </c>
      <c r="F103" t="str">
        <v>Interbank</v>
      </c>
      <c r="G103" t="str">
        <v>Febrero</v>
      </c>
    </row>
    <row r="104">
      <c r="A104" t="str">
        <v>Egreso</v>
      </c>
      <c r="B104">
        <v>46054</v>
      </c>
      <c r="C104" t="str">
        <v>Servicio</v>
      </c>
      <c r="D104" t="str">
        <v>Gaseosa</v>
      </c>
      <c r="E104">
        <v>3.5</v>
      </c>
      <c r="F104" t="str">
        <v>BBVA Bfree</v>
      </c>
      <c r="G104" t="str">
        <v>Febrero</v>
      </c>
    </row>
    <row r="105">
      <c r="A105" t="str">
        <v>Egreso</v>
      </c>
      <c r="B105">
        <v>46054</v>
      </c>
      <c r="C105" t="str">
        <v>Servicio</v>
      </c>
      <c r="D105" t="str">
        <v>Spotify</v>
      </c>
      <c r="E105">
        <v>11.9</v>
      </c>
      <c r="F105" t="str">
        <v>Interbank</v>
      </c>
      <c r="G105" t="str">
        <v>Febrero</v>
      </c>
    </row>
    <row r="106">
      <c r="A106" t="str">
        <v>Egreso</v>
      </c>
      <c r="B106">
        <v>46055</v>
      </c>
      <c r="C106" t="str">
        <v>Gasto</v>
      </c>
      <c r="D106" t="str">
        <v>Mercado</v>
      </c>
      <c r="E106">
        <v>9.5</v>
      </c>
      <c r="F106" t="str">
        <v>Interbank</v>
      </c>
      <c r="G106" t="str">
        <v>Febrero</v>
      </c>
    </row>
    <row r="107">
      <c r="A107" t="str">
        <v>Egreso</v>
      </c>
      <c r="B107">
        <v>46055</v>
      </c>
      <c r="C107" t="str">
        <v>Gasto</v>
      </c>
      <c r="D107" t="str">
        <v>Condones</v>
      </c>
      <c r="E107">
        <v>4.9</v>
      </c>
      <c r="F107" t="str">
        <v>BBVA Bfree</v>
      </c>
      <c r="G107" t="str">
        <v>Febrero</v>
      </c>
    </row>
    <row r="108">
      <c r="A108" t="str">
        <v>Egreso</v>
      </c>
      <c r="B108">
        <v>46055</v>
      </c>
      <c r="C108" t="str">
        <v>Gasto</v>
      </c>
      <c r="D108" t="str">
        <v>Broaster</v>
      </c>
      <c r="E108">
        <v>10</v>
      </c>
      <c r="F108" t="str">
        <v>Interbank</v>
      </c>
      <c r="G108" t="str">
        <v>Febrero</v>
      </c>
    </row>
    <row r="109">
      <c r="A109" t="str">
        <v>Egreso</v>
      </c>
      <c r="B109">
        <v>46057</v>
      </c>
      <c r="C109" t="str">
        <v>Gasto</v>
      </c>
      <c r="D109" t="str">
        <v>Shampoo</v>
      </c>
      <c r="E109">
        <v>17.9</v>
      </c>
      <c r="F109" t="str">
        <v>BBVA Bfree</v>
      </c>
      <c r="G109" t="str">
        <v>Febrero</v>
      </c>
    </row>
    <row r="110">
      <c r="A110" t="str">
        <v>Egreso</v>
      </c>
      <c r="B110">
        <v>46057</v>
      </c>
      <c r="C110" t="str">
        <v>Gasto</v>
      </c>
      <c r="D110" t="str">
        <v>Detergente</v>
      </c>
      <c r="E110">
        <v>2.63</v>
      </c>
      <c r="F110" t="str">
        <v>BBVA Bfree</v>
      </c>
      <c r="G110" t="str">
        <v>Febrero</v>
      </c>
    </row>
    <row r="111">
      <c r="A111" t="str">
        <v>Egreso</v>
      </c>
      <c r="B111">
        <v>46057</v>
      </c>
      <c r="C111" t="str">
        <v>Gasto</v>
      </c>
      <c r="D111" t="str">
        <v>Papel Higiénico</v>
      </c>
      <c r="E111">
        <v>2.63</v>
      </c>
      <c r="F111" t="str">
        <v>BBVA Bfree</v>
      </c>
      <c r="G111" t="str">
        <v>Febrero</v>
      </c>
    </row>
    <row r="112">
      <c r="A112" t="str">
        <v>Egreso</v>
      </c>
      <c r="B112">
        <v>46057</v>
      </c>
      <c r="C112" t="str">
        <v>Gasto</v>
      </c>
      <c r="D112" t="str">
        <v>Pasta Dental</v>
      </c>
      <c r="E112">
        <v>2.64</v>
      </c>
      <c r="F112" t="str">
        <v>BBVA Bfree</v>
      </c>
      <c r="G112" t="str">
        <v>Febrero</v>
      </c>
    </row>
    <row r="113">
      <c r="A113" t="str">
        <v>Egreso</v>
      </c>
      <c r="B113">
        <v>46057</v>
      </c>
      <c r="C113" t="str">
        <v>Gasto</v>
      </c>
      <c r="D113" t="str">
        <v>Menú</v>
      </c>
      <c r="E113">
        <v>13.65</v>
      </c>
      <c r="F113" t="str">
        <v>BBVA Bfree</v>
      </c>
      <c r="G113" t="str">
        <v>Febrero</v>
      </c>
    </row>
    <row r="114">
      <c r="A114" t="str">
        <v>Egreso</v>
      </c>
      <c r="B114">
        <v>46057</v>
      </c>
      <c r="C114" t="str">
        <v>Gasto</v>
      </c>
      <c r="D114" t="str">
        <v>Temu</v>
      </c>
      <c r="E114">
        <v>103.09</v>
      </c>
      <c r="F114" t="str">
        <v>BBVA Bfree</v>
      </c>
      <c r="G114" t="str">
        <v>Febrero</v>
      </c>
    </row>
    <row r="115">
      <c r="A115" t="str">
        <v>Egreso</v>
      </c>
      <c r="B115">
        <v>46058</v>
      </c>
      <c r="C115" t="str">
        <v>Gasto</v>
      </c>
      <c r="D115" t="str">
        <v>Mercado</v>
      </c>
      <c r="E115">
        <v>49.32</v>
      </c>
      <c r="F115" t="str">
        <v>Interbank</v>
      </c>
      <c r="G115" t="str">
        <v>Febrero</v>
      </c>
    </row>
    <row r="116">
      <c r="A116" t="str">
        <v>Egreso</v>
      </c>
      <c r="B116">
        <v>46059</v>
      </c>
      <c r="C116" t="str">
        <v>Gasto</v>
      </c>
      <c r="D116" t="str">
        <v>Futbol</v>
      </c>
      <c r="E116">
        <v>13.06</v>
      </c>
      <c r="F116" t="str">
        <v>Interbank</v>
      </c>
      <c r="G116" t="str">
        <v>Febrero</v>
      </c>
    </row>
    <row r="117">
      <c r="A117" t="str">
        <v>Egreso</v>
      </c>
      <c r="B117">
        <v>46059</v>
      </c>
      <c r="C117" t="str">
        <v>Gasto</v>
      </c>
      <c r="D117" t="str">
        <v>Desvagramen</v>
      </c>
      <c r="E117">
        <v>3.31</v>
      </c>
      <c r="F117" t="str">
        <v>BBVA Bfree</v>
      </c>
      <c r="G117" t="str">
        <v>Febrero</v>
      </c>
    </row>
    <row r="118">
      <c r="A118" t="str">
        <v>Ingreso</v>
      </c>
      <c r="B118">
        <v>46059</v>
      </c>
      <c r="C118" t="str">
        <v>Sueldo</v>
      </c>
      <c r="D118" t="str">
        <v>AFP</v>
      </c>
      <c r="E118">
        <v>394</v>
      </c>
      <c r="F118" t="str">
        <v>Interbank</v>
      </c>
      <c r="G118" t="str">
        <v>Febrero</v>
      </c>
    </row>
    <row r="119">
      <c r="A119" t="str">
        <v>Ingreso</v>
      </c>
      <c r="B119">
        <v>46059</v>
      </c>
      <c r="C119" t="str">
        <v>Otro Ing</v>
      </c>
      <c r="D119" t="str">
        <v>Viaje Argentina</v>
      </c>
      <c r="E119">
        <v>600</v>
      </c>
      <c r="F119" t="str">
        <v>Interbank</v>
      </c>
      <c r="G119" t="str">
        <v>Febrero</v>
      </c>
    </row>
    <row r="120">
      <c r="A120" t="str">
        <v>Egreso</v>
      </c>
      <c r="B120">
        <v>46059</v>
      </c>
      <c r="C120" t="str">
        <v>Gasto</v>
      </c>
      <c r="D120" t="str">
        <v>Viaje Argentina</v>
      </c>
      <c r="E120">
        <v>600</v>
      </c>
      <c r="F120" t="str">
        <v>Interbank</v>
      </c>
      <c r="G120" t="str">
        <v>Febrero</v>
      </c>
    </row>
    <row r="121">
      <c r="A121" t="str">
        <v>Ingreso</v>
      </c>
      <c r="B121">
        <v>46059</v>
      </c>
      <c r="C121" t="str">
        <v>Sueldo</v>
      </c>
      <c r="D121" t="str">
        <v>AFP</v>
      </c>
      <c r="E121">
        <v>242</v>
      </c>
      <c r="F121" t="str">
        <v>Interbank</v>
      </c>
      <c r="G121" t="str">
        <v>Febrero</v>
      </c>
    </row>
    <row r="122">
      <c r="A122" t="str">
        <v>Egreso</v>
      </c>
      <c r="B122">
        <v>46059</v>
      </c>
      <c r="C122" t="str">
        <v>Servicio</v>
      </c>
      <c r="D122" t="str">
        <v>Gaseosa</v>
      </c>
      <c r="E122">
        <v>7</v>
      </c>
      <c r="F122" t="str">
        <v>Interbank</v>
      </c>
      <c r="G122" t="str">
        <v>Febrero</v>
      </c>
    </row>
    <row r="123">
      <c r="A123" t="str">
        <v>Egreso</v>
      </c>
      <c r="B123">
        <v>46060</v>
      </c>
      <c r="C123" t="str">
        <v>Gasto</v>
      </c>
      <c r="D123" t="str">
        <v>Dulce de Leche</v>
      </c>
      <c r="E123">
        <v>3.5</v>
      </c>
      <c r="F123" t="str">
        <v>BBVA Bfree</v>
      </c>
      <c r="G123" t="str">
        <v>Febrero</v>
      </c>
    </row>
    <row r="124">
      <c r="A124" t="str">
        <v>Egreso</v>
      </c>
      <c r="B124">
        <v>46060</v>
      </c>
      <c r="C124" t="str">
        <v>Servicio</v>
      </c>
      <c r="D124" t="str">
        <v>Gaseosa</v>
      </c>
      <c r="E124">
        <v>3.29</v>
      </c>
      <c r="F124" t="str">
        <v>BBVA Bfree</v>
      </c>
      <c r="G124" t="str">
        <v>Febrero</v>
      </c>
    </row>
    <row r="125">
      <c r="A125" t="str">
        <v>Egreso</v>
      </c>
      <c r="B125">
        <v>46060</v>
      </c>
      <c r="C125" t="str">
        <v>Gasto</v>
      </c>
      <c r="D125" t="str">
        <v>Broaster</v>
      </c>
      <c r="E125">
        <v>30.57</v>
      </c>
      <c r="F125" t="str">
        <v>BBVA Bfree</v>
      </c>
      <c r="G125" t="str">
        <v>Febrero</v>
      </c>
    </row>
    <row r="126">
      <c r="A126" t="str">
        <v>Egreso</v>
      </c>
      <c r="B126">
        <v>46060</v>
      </c>
      <c r="C126" t="str">
        <v>Servicio</v>
      </c>
      <c r="D126" t="str">
        <v>Gaseosa</v>
      </c>
      <c r="E126">
        <v>3.5</v>
      </c>
      <c r="F126" t="str">
        <v>BBVA Bfree</v>
      </c>
      <c r="G126" t="str">
        <v>Febrero</v>
      </c>
    </row>
    <row r="127">
      <c r="A127" t="str">
        <v>Egreso</v>
      </c>
      <c r="B127">
        <v>46060</v>
      </c>
      <c r="C127" t="str">
        <v>Gasto</v>
      </c>
      <c r="D127" t="str">
        <v>Broaster</v>
      </c>
      <c r="E127">
        <v>15</v>
      </c>
      <c r="F127" t="str">
        <v>Interbank</v>
      </c>
      <c r="G127" t="str">
        <v>Febrero</v>
      </c>
    </row>
    <row r="128">
      <c r="A128" t="str">
        <v>Egreso</v>
      </c>
      <c r="B128">
        <v>46062</v>
      </c>
      <c r="C128" t="str">
        <v>Gasto</v>
      </c>
      <c r="D128" t="str">
        <v>Broaster</v>
      </c>
      <c r="E128">
        <v>59.54</v>
      </c>
      <c r="F128" t="str">
        <v>Interbank</v>
      </c>
      <c r="G128" t="str">
        <v>Febrero</v>
      </c>
    </row>
    <row r="129">
      <c r="A129" t="str">
        <v>Ingreso</v>
      </c>
      <c r="B129">
        <v>46063</v>
      </c>
      <c r="C129" t="str">
        <v>Tarjeta</v>
      </c>
      <c r="D129" t="str">
        <v>Linea Tarjeta</v>
      </c>
      <c r="E129">
        <v>1000</v>
      </c>
      <c r="F129" t="str">
        <v>Interbank Amex</v>
      </c>
      <c r="G129" t="str">
        <v>Febrero</v>
      </c>
    </row>
    <row r="130">
      <c r="A130" t="str">
        <v>Egreso</v>
      </c>
      <c r="B130">
        <v>46063</v>
      </c>
      <c r="C130" t="str">
        <v>Gasto</v>
      </c>
      <c r="D130" t="str">
        <v>Condones</v>
      </c>
      <c r="E130">
        <v>4.9</v>
      </c>
      <c r="F130" t="str">
        <v>Interbank Amex</v>
      </c>
      <c r="G130" t="str">
        <v>Febrero</v>
      </c>
    </row>
    <row r="131">
      <c r="A131" t="str">
        <v>Egreso</v>
      </c>
      <c r="B131">
        <v>46063</v>
      </c>
      <c r="C131" t="str">
        <v>Gasto</v>
      </c>
      <c r="D131" t="str">
        <v>Bus</v>
      </c>
      <c r="E131">
        <v>4</v>
      </c>
      <c r="F131" t="str">
        <v>Interbank</v>
      </c>
      <c r="G131" t="str">
        <v>Febrero</v>
      </c>
    </row>
    <row r="132">
      <c r="A132" t="str">
        <v>Egreso</v>
      </c>
      <c r="B132">
        <v>46063</v>
      </c>
      <c r="C132" t="str">
        <v>Gasto</v>
      </c>
      <c r="D132" t="str">
        <v>Broaster</v>
      </c>
      <c r="E132">
        <v>10</v>
      </c>
      <c r="F132" t="str">
        <v>Interbank</v>
      </c>
      <c r="G132" t="str">
        <v>Febrero</v>
      </c>
    </row>
    <row r="133">
      <c r="A133" t="str">
        <v>Egreso</v>
      </c>
      <c r="B133">
        <v>46064</v>
      </c>
      <c r="C133" t="str">
        <v>Gasto</v>
      </c>
      <c r="D133" t="str">
        <v>Taxi</v>
      </c>
      <c r="E133">
        <v>20</v>
      </c>
      <c r="F133" t="str">
        <v>Interbank</v>
      </c>
      <c r="G133" t="str">
        <v>Febrero</v>
      </c>
    </row>
    <row r="134">
      <c r="A134" t="str">
        <v>Egreso</v>
      </c>
      <c r="B134">
        <v>46064</v>
      </c>
      <c r="C134" t="str">
        <v>Gasto</v>
      </c>
      <c r="D134" t="str">
        <v>Dulce de Leche</v>
      </c>
      <c r="E134">
        <v>5.9</v>
      </c>
      <c r="F134" t="str">
        <v>Interbank Amex</v>
      </c>
      <c r="G134" t="str">
        <v>Febrero</v>
      </c>
    </row>
    <row r="135">
      <c r="A135" t="str">
        <v>Egreso</v>
      </c>
      <c r="B135">
        <v>46064</v>
      </c>
      <c r="C135" t="str">
        <v>Gasto</v>
      </c>
      <c r="D135" t="str">
        <v>Polo</v>
      </c>
      <c r="E135">
        <v>42.46</v>
      </c>
      <c r="F135" t="str">
        <v>Interbank Amex</v>
      </c>
      <c r="G135" t="str">
        <v>Febrero</v>
      </c>
    </row>
    <row r="136">
      <c r="A136" t="str">
        <v>Egreso</v>
      </c>
      <c r="B136">
        <v>46064</v>
      </c>
      <c r="C136" t="str">
        <v>Gasto</v>
      </c>
      <c r="D136" t="str">
        <v>Gorra</v>
      </c>
      <c r="E136">
        <v>40</v>
      </c>
      <c r="F136" t="str">
        <v>Interbank Amex</v>
      </c>
      <c r="G136" t="str">
        <v>Febrero</v>
      </c>
    </row>
    <row r="137">
      <c r="A137" t="str">
        <v>Egreso</v>
      </c>
      <c r="B137">
        <v>46064</v>
      </c>
      <c r="C137" t="str">
        <v>Gasto</v>
      </c>
      <c r="D137" t="str">
        <v>Zapatillas</v>
      </c>
      <c r="E137">
        <v>50.89</v>
      </c>
      <c r="F137" t="str">
        <v>Interbank Amex</v>
      </c>
      <c r="G137" t="str">
        <v>Febrero</v>
      </c>
    </row>
    <row r="138">
      <c r="A138" t="str">
        <v>Egreso</v>
      </c>
      <c r="B138">
        <v>46064</v>
      </c>
      <c r="C138" t="str">
        <v>Gasto</v>
      </c>
      <c r="D138" t="str">
        <v>Makis</v>
      </c>
      <c r="E138">
        <v>90</v>
      </c>
      <c r="F138" t="str">
        <v>Interbank Amex</v>
      </c>
      <c r="G138" t="str">
        <v>Febrero</v>
      </c>
    </row>
    <row r="139">
      <c r="A139" t="str">
        <v>Egreso</v>
      </c>
      <c r="B139">
        <v>46065</v>
      </c>
      <c r="C139" t="str">
        <v>Gasto</v>
      </c>
      <c r="D139" t="str">
        <v>Camisa</v>
      </c>
      <c r="E139">
        <v>69.5</v>
      </c>
      <c r="F139" t="str">
        <v>Interbank Amex</v>
      </c>
      <c r="G139" t="str">
        <v>Febrero</v>
      </c>
    </row>
    <row r="140">
      <c r="A140" t="str">
        <v>Egreso</v>
      </c>
      <c r="B140">
        <v>46066</v>
      </c>
      <c r="C140" t="str">
        <v>Gasto</v>
      </c>
      <c r="D140" t="str">
        <v>Madre</v>
      </c>
      <c r="E140">
        <v>90</v>
      </c>
      <c r="F140" t="str">
        <v>Interbank</v>
      </c>
      <c r="G140" t="str">
        <v>Febrero</v>
      </c>
    </row>
    <row r="141">
      <c r="A141" t="str">
        <v>Egreso</v>
      </c>
      <c r="B141">
        <v>46066</v>
      </c>
      <c r="C141" t="str">
        <v>Gasto</v>
      </c>
      <c r="D141" t="str">
        <v>Ron</v>
      </c>
      <c r="E141">
        <v>24</v>
      </c>
      <c r="F141" t="str">
        <v>Interbank Amex</v>
      </c>
      <c r="G141" t="str">
        <v>Febrero</v>
      </c>
    </row>
    <row r="142">
      <c r="A142" t="str">
        <v>Egreso</v>
      </c>
      <c r="B142">
        <v>46067</v>
      </c>
      <c r="C142" t="str">
        <v>Gasto</v>
      </c>
      <c r="D142" t="str">
        <v>Yogurt</v>
      </c>
      <c r="E142">
        <v>15.6</v>
      </c>
      <c r="F142" t="str">
        <v>Interbank Amex</v>
      </c>
      <c r="G142" t="str">
        <v>Febrero</v>
      </c>
    </row>
    <row r="143">
      <c r="A143" t="str">
        <v>Ingreso</v>
      </c>
      <c r="B143">
        <v>46067</v>
      </c>
      <c r="C143" t="str">
        <v>Otro Ing</v>
      </c>
      <c r="D143" t="str">
        <v>Venta de iPhone</v>
      </c>
      <c r="E143">
        <v>400</v>
      </c>
      <c r="F143" t="str">
        <v>Interbank</v>
      </c>
      <c r="G143" t="str">
        <v>Febrero</v>
      </c>
    </row>
    <row r="144">
      <c r="A144" t="str">
        <v>Egreso</v>
      </c>
      <c r="B144">
        <v>46067</v>
      </c>
      <c r="C144" t="str">
        <v>Servicio</v>
      </c>
      <c r="D144" t="str">
        <v>iCloud</v>
      </c>
      <c r="E144">
        <v>4</v>
      </c>
      <c r="F144" t="str">
        <v>Interbank</v>
      </c>
      <c r="G144" t="str">
        <v>Febrero</v>
      </c>
    </row>
    <row r="145">
      <c r="A145" t="str">
        <v>Egreso</v>
      </c>
      <c r="B145">
        <v>46067</v>
      </c>
      <c r="C145" t="str">
        <v>Gasto</v>
      </c>
      <c r="D145" t="str">
        <v>Camisa</v>
      </c>
      <c r="E145">
        <v>60</v>
      </c>
      <c r="F145" t="str">
        <v>Interbank</v>
      </c>
      <c r="G145" t="str">
        <v>Febrero</v>
      </c>
    </row>
    <row r="146">
      <c r="A146" t="str">
        <v>Egreso</v>
      </c>
      <c r="B146">
        <v>46067</v>
      </c>
      <c r="C146" t="str">
        <v>Gasto</v>
      </c>
      <c r="D146" t="str">
        <v>Broaster</v>
      </c>
      <c r="E146">
        <v>21.5</v>
      </c>
      <c r="F146" t="str">
        <v>Interbank Amex</v>
      </c>
      <c r="G146" t="str">
        <v>Febrero</v>
      </c>
    </row>
    <row r="147">
      <c r="A147" t="str">
        <v>Egreso</v>
      </c>
      <c r="B147">
        <v>46067</v>
      </c>
      <c r="C147" t="str">
        <v>Gasto</v>
      </c>
      <c r="D147" t="str">
        <v>Shampoo</v>
      </c>
      <c r="E147">
        <v>6.5</v>
      </c>
      <c r="F147" t="str">
        <v>Interbank Amex</v>
      </c>
      <c r="G147" t="str">
        <v>Febrero</v>
      </c>
    </row>
    <row r="148">
      <c r="A148" t="str">
        <v>Egreso</v>
      </c>
      <c r="B148">
        <v>46068</v>
      </c>
      <c r="C148" t="str">
        <v>Servicio</v>
      </c>
      <c r="D148" t="str">
        <v>Telefonia Movil</v>
      </c>
      <c r="E148">
        <v>39.9</v>
      </c>
      <c r="F148" t="str">
        <v>Interbank</v>
      </c>
      <c r="G148" t="str">
        <v>Febrero</v>
      </c>
    </row>
    <row r="149">
      <c r="A149" t="str">
        <v>Egreso</v>
      </c>
      <c r="B149">
        <v>46068</v>
      </c>
      <c r="C149" t="str">
        <v>Deuda</v>
      </c>
      <c r="D149" t="str">
        <v>Yape Crédito</v>
      </c>
      <c r="E149">
        <v>60.36</v>
      </c>
      <c r="F149" t="str">
        <v>Interbank</v>
      </c>
      <c r="G149" t="str">
        <v>Febrero</v>
      </c>
    </row>
    <row r="150">
      <c r="A150" t="str">
        <v>Egreso</v>
      </c>
      <c r="B150">
        <v>46068</v>
      </c>
      <c r="C150" t="str">
        <v>Gasto</v>
      </c>
      <c r="D150" t="str">
        <v>Ron</v>
      </c>
      <c r="E150">
        <v>80</v>
      </c>
      <c r="F150" t="str">
        <v>Interbank</v>
      </c>
      <c r="G150" t="str">
        <v>Febrero</v>
      </c>
    </row>
    <row r="151">
      <c r="A151" t="str">
        <v>Egreso</v>
      </c>
      <c r="B151">
        <v>46068</v>
      </c>
      <c r="C151" t="str">
        <v>Servicio</v>
      </c>
      <c r="D151" t="str">
        <v>Gaseosa</v>
      </c>
      <c r="E151">
        <v>8.1</v>
      </c>
      <c r="F151" t="str">
        <v>Interbank Amex</v>
      </c>
      <c r="G151" t="str">
        <v>Febrero</v>
      </c>
    </row>
    <row r="152">
      <c r="A152" t="str">
        <v>Egreso</v>
      </c>
      <c r="B152">
        <v>46069</v>
      </c>
      <c r="C152" t="str">
        <v>Gasto</v>
      </c>
      <c r="D152" t="str">
        <v>Mercado</v>
      </c>
      <c r="E152">
        <v>50</v>
      </c>
      <c r="F152" t="str">
        <v>Interbank</v>
      </c>
      <c r="G152" t="str">
        <v>Febrero</v>
      </c>
    </row>
    <row r="153">
      <c r="A153" t="str">
        <v>Egreso</v>
      </c>
      <c r="B153">
        <v>46069</v>
      </c>
      <c r="C153" t="str">
        <v>Gasto</v>
      </c>
      <c r="D153" t="str">
        <v>Futbol</v>
      </c>
      <c r="E153">
        <v>12.5</v>
      </c>
      <c r="F153" t="str">
        <v>Interbank</v>
      </c>
      <c r="G153" t="str">
        <v>Febrero</v>
      </c>
    </row>
    <row r="154">
      <c r="A154" t="str">
        <v>Egreso</v>
      </c>
      <c r="B154">
        <v>46069</v>
      </c>
      <c r="C154" t="str">
        <v>Gasto</v>
      </c>
      <c r="D154" t="str">
        <v>Broaster</v>
      </c>
      <c r="E154">
        <v>15</v>
      </c>
      <c r="F154" t="str">
        <v>Interbank</v>
      </c>
      <c r="G154" t="str">
        <v>Febrero</v>
      </c>
    </row>
    <row r="155">
      <c r="A155" t="str">
        <v>Egreso</v>
      </c>
      <c r="B155">
        <v>46071</v>
      </c>
      <c r="C155" t="str">
        <v>Gasto</v>
      </c>
      <c r="D155" t="str">
        <v>Broaster</v>
      </c>
      <c r="E155">
        <v>10</v>
      </c>
      <c r="F155" t="str">
        <v>Interbank</v>
      </c>
      <c r="G155" t="str">
        <v>Febrero</v>
      </c>
    </row>
    <row r="156">
      <c r="A156" t="str">
        <v>Egreso</v>
      </c>
      <c r="B156">
        <v>46072</v>
      </c>
      <c r="C156" t="str">
        <v>Gasto</v>
      </c>
      <c r="D156" t="str">
        <v>Bus</v>
      </c>
      <c r="E156">
        <v>6</v>
      </c>
      <c r="F156" t="str">
        <v>Interbank</v>
      </c>
      <c r="G156" t="str">
        <v>Febrero</v>
      </c>
    </row>
    <row r="157">
      <c r="A157" t="str">
        <v>Egreso</v>
      </c>
      <c r="B157">
        <v>46072</v>
      </c>
      <c r="C157" t="str">
        <v>Gasto</v>
      </c>
      <c r="D157" t="str">
        <v>Broaster</v>
      </c>
      <c r="E157">
        <v>9.5</v>
      </c>
      <c r="F157" t="str">
        <v>Interbank</v>
      </c>
      <c r="G157" t="str">
        <v>Febrero</v>
      </c>
    </row>
    <row r="158">
      <c r="A158" t="str">
        <v>Egreso</v>
      </c>
      <c r="B158">
        <v>46073</v>
      </c>
      <c r="C158" t="str">
        <v>Gasto</v>
      </c>
      <c r="D158" t="str">
        <v>Concierto Paulo Londra</v>
      </c>
      <c r="E158">
        <v>480</v>
      </c>
      <c r="F158" t="str">
        <v>Interbank Amex</v>
      </c>
      <c r="G158" t="str">
        <v>Febrero</v>
      </c>
    </row>
    <row r="159">
      <c r="A159" t="str">
        <v>Ingreso</v>
      </c>
      <c r="B159">
        <v>46073</v>
      </c>
      <c r="C159" t="str">
        <v>Otro Ing</v>
      </c>
      <c r="D159" t="str">
        <v>Mili</v>
      </c>
      <c r="E159">
        <v>240</v>
      </c>
      <c r="F159" t="str">
        <v>Interbank</v>
      </c>
      <c r="G159" t="str">
        <v>Febrero</v>
      </c>
    </row>
    <row r="160">
      <c r="A160" t="str">
        <v>Egreso</v>
      </c>
      <c r="B160">
        <v>46073</v>
      </c>
      <c r="C160" t="str">
        <v>Servicio</v>
      </c>
      <c r="D160" t="str">
        <v>Gaseosa</v>
      </c>
      <c r="E160">
        <v>6.99</v>
      </c>
      <c r="F160" t="str">
        <v>Interbank Amex</v>
      </c>
      <c r="G160" t="str">
        <v>Febrero</v>
      </c>
    </row>
    <row r="161">
      <c r="A161" t="str">
        <v>Egreso</v>
      </c>
      <c r="B161">
        <v>46073</v>
      </c>
      <c r="C161" t="str">
        <v>Gasto</v>
      </c>
      <c r="D161" t="str">
        <v>Taxi</v>
      </c>
      <c r="E161">
        <v>20</v>
      </c>
      <c r="F161" t="str">
        <v>Interbank</v>
      </c>
      <c r="G161" t="str">
        <v>Febrero</v>
      </c>
    </row>
    <row r="162">
      <c r="A162" t="str">
        <v>Egreso</v>
      </c>
      <c r="B162">
        <v>46074</v>
      </c>
      <c r="C162" t="str">
        <v>Gasto</v>
      </c>
      <c r="D162" t="str">
        <v>Pollo a la Brasa</v>
      </c>
      <c r="E162">
        <v>28</v>
      </c>
      <c r="F162" t="str">
        <v>Interbank Amex</v>
      </c>
      <c r="G162" t="str">
        <v>Febrero</v>
      </c>
    </row>
    <row r="163">
      <c r="A163" t="str">
        <v>Ingreso</v>
      </c>
      <c r="B163">
        <v>46074</v>
      </c>
      <c r="C163" t="str">
        <v>Otro Ing</v>
      </c>
      <c r="D163" t="str">
        <v>Madre</v>
      </c>
      <c r="E163">
        <v>100</v>
      </c>
      <c r="F163" t="str">
        <v>Interbank</v>
      </c>
      <c r="G163" t="str">
        <v>Febrero</v>
      </c>
    </row>
    <row r="164">
      <c r="A164" t="str">
        <v>Egreso</v>
      </c>
      <c r="B164">
        <v>46074</v>
      </c>
      <c r="C164" t="str">
        <v>Gasto</v>
      </c>
      <c r="D164" t="str">
        <v>Broaster</v>
      </c>
      <c r="E164">
        <v>20</v>
      </c>
      <c r="F164" t="str">
        <v>Interbank</v>
      </c>
      <c r="G164" t="str">
        <v>Febrero</v>
      </c>
    </row>
    <row r="165">
      <c r="A165" t="str">
        <v>Egreso</v>
      </c>
      <c r="B165">
        <v>46074</v>
      </c>
      <c r="C165" t="str">
        <v>Gasto</v>
      </c>
      <c r="D165" t="str">
        <v>Alcohol</v>
      </c>
      <c r="E165">
        <v>7.5</v>
      </c>
      <c r="F165" t="str">
        <v>Interbank</v>
      </c>
      <c r="G165" t="str">
        <v>Febrero</v>
      </c>
    </row>
    <row r="166">
      <c r="A166" t="str">
        <v>Egreso</v>
      </c>
      <c r="B166">
        <v>46074</v>
      </c>
      <c r="C166" t="str">
        <v>Servicio</v>
      </c>
      <c r="D166" t="str">
        <v>Agua Mineral</v>
      </c>
      <c r="E166">
        <v>3.5</v>
      </c>
      <c r="F166" t="str">
        <v>Interbank</v>
      </c>
      <c r="G166" t="str">
        <v>Febrero</v>
      </c>
    </row>
    <row r="167">
      <c r="A167" t="str">
        <v>Egreso</v>
      </c>
      <c r="B167">
        <v>46074</v>
      </c>
      <c r="C167" t="str">
        <v>Gasto</v>
      </c>
      <c r="D167" t="str">
        <v>Cigarro</v>
      </c>
      <c r="E167">
        <v>2</v>
      </c>
      <c r="F167" t="str">
        <v>Interbank</v>
      </c>
      <c r="G167" t="str">
        <v>Febrero</v>
      </c>
    </row>
    <row r="168">
      <c r="A168" t="str">
        <v>Egreso</v>
      </c>
      <c r="B168">
        <v>46074</v>
      </c>
      <c r="C168" t="str">
        <v>Gasto</v>
      </c>
      <c r="D168" t="str">
        <v>Chifa</v>
      </c>
      <c r="E168">
        <v>30</v>
      </c>
      <c r="F168" t="str">
        <v>Interbank Amex</v>
      </c>
      <c r="G168" t="str">
        <v>Febrero</v>
      </c>
    </row>
    <row r="169">
      <c r="A169" t="str">
        <v>Egreso</v>
      </c>
      <c r="B169">
        <v>46074</v>
      </c>
      <c r="C169" t="str">
        <v>Gasto</v>
      </c>
      <c r="D169" t="str">
        <v>Cigarro</v>
      </c>
      <c r="E169">
        <v>9</v>
      </c>
      <c r="F169" t="str">
        <v>Interbank Amex</v>
      </c>
      <c r="G169" t="str">
        <v>Febrero</v>
      </c>
    </row>
    <row r="170">
      <c r="A170" t="str">
        <v>Egreso</v>
      </c>
      <c r="B170">
        <v>46074</v>
      </c>
      <c r="C170" t="str">
        <v>Gasto</v>
      </c>
      <c r="D170" t="str">
        <v>Cigarro</v>
      </c>
      <c r="E170">
        <v>13.91</v>
      </c>
      <c r="F170" t="str">
        <v>Interbank Amex</v>
      </c>
      <c r="G170" t="str">
        <v>Febrero</v>
      </c>
    </row>
    <row r="171">
      <c r="A171" t="str">
        <v>Egreso</v>
      </c>
      <c r="B171">
        <v>46075</v>
      </c>
      <c r="C171" t="str">
        <v>Gasto</v>
      </c>
      <c r="D171" t="str">
        <v>Ceviche</v>
      </c>
      <c r="E171">
        <v>10</v>
      </c>
      <c r="F171" t="str">
        <v>Interbank</v>
      </c>
      <c r="G171" t="str">
        <v>Febrero</v>
      </c>
    </row>
    <row r="172">
      <c r="A172" t="str">
        <v>Egreso</v>
      </c>
      <c r="B172">
        <v>46075</v>
      </c>
      <c r="C172" t="str">
        <v>Gasto</v>
      </c>
      <c r="D172" t="str">
        <v>Chicharron</v>
      </c>
      <c r="E172">
        <v>14.7</v>
      </c>
      <c r="F172" t="str">
        <v>Interbank</v>
      </c>
      <c r="G172" t="str">
        <v>Febrero</v>
      </c>
    </row>
    <row r="173">
      <c r="A173" t="str">
        <v>Egreso</v>
      </c>
      <c r="B173">
        <v>46075</v>
      </c>
      <c r="C173" t="str">
        <v>Gasto</v>
      </c>
      <c r="D173" t="str">
        <v>Shawarma</v>
      </c>
      <c r="E173">
        <v>22.5</v>
      </c>
      <c r="F173" t="str">
        <v>Interbank</v>
      </c>
      <c r="G173" t="str">
        <v>Febrero</v>
      </c>
    </row>
    <row r="174">
      <c r="A174" t="str">
        <v>Egreso</v>
      </c>
      <c r="B174">
        <v>46075</v>
      </c>
      <c r="C174" t="str">
        <v>Gasto</v>
      </c>
      <c r="D174" t="str">
        <v>Bus</v>
      </c>
      <c r="E174">
        <v>7</v>
      </c>
      <c r="F174" t="str">
        <v>Interbank</v>
      </c>
      <c r="G174" t="str">
        <v>Febrero</v>
      </c>
    </row>
    <row r="175">
      <c r="A175" t="str">
        <v>Egreso</v>
      </c>
      <c r="B175">
        <v>46075</v>
      </c>
      <c r="C175" t="str">
        <v>Gasto</v>
      </c>
      <c r="D175" t="str">
        <v>Desvagramen</v>
      </c>
      <c r="E175">
        <v>0.94</v>
      </c>
      <c r="F175" t="str">
        <v>Interbank Amex</v>
      </c>
      <c r="G175" t="str">
        <v>Febrero</v>
      </c>
    </row>
    <row r="176">
      <c r="A176" t="str">
        <v>Egreso</v>
      </c>
      <c r="B176">
        <v>46077</v>
      </c>
      <c r="C176" t="str">
        <v>Gasto</v>
      </c>
      <c r="D176" t="str">
        <v>Pollo a la Brasa</v>
      </c>
      <c r="E176">
        <v>30.8</v>
      </c>
      <c r="F176" t="str">
        <v>Interbank</v>
      </c>
      <c r="G176" t="str">
        <v>Febrero</v>
      </c>
    </row>
    <row r="177">
      <c r="A177" t="str">
        <v>Egreso</v>
      </c>
      <c r="B177">
        <v>46077</v>
      </c>
      <c r="C177" t="str">
        <v>Deuda</v>
      </c>
      <c r="D177" t="str">
        <v>Pago de Tarjeta BBVA Bfree</v>
      </c>
      <c r="E177">
        <v>379.76</v>
      </c>
      <c r="F177" t="str">
        <v>Interbank</v>
      </c>
      <c r="G177" t="str">
        <v>Febrero</v>
      </c>
    </row>
    <row r="178">
      <c r="A178" t="str">
        <v>Ingreso</v>
      </c>
      <c r="B178">
        <v>46077</v>
      </c>
      <c r="C178" t="str">
        <v>Tarjeta</v>
      </c>
      <c r="D178" t="str">
        <v>Linea Tarjeta</v>
      </c>
      <c r="E178">
        <v>379.74</v>
      </c>
      <c r="F178" t="str">
        <v>Interbank Amex</v>
      </c>
      <c r="G178" t="str">
        <v>Febrero</v>
      </c>
    </row>
    <row r="179">
      <c r="A179" t="str">
        <v>Egreso</v>
      </c>
      <c r="B179">
        <v>46078</v>
      </c>
      <c r="C179" t="str">
        <v>Gasto</v>
      </c>
      <c r="D179" t="str">
        <v>Broaster</v>
      </c>
      <c r="E179">
        <v>15</v>
      </c>
      <c r="F179" t="str">
        <v>Interbank</v>
      </c>
      <c r="G179" t="str">
        <v>Febrero</v>
      </c>
    </row>
    <row r="180">
      <c r="A180" t="str">
        <v>Egreso</v>
      </c>
      <c r="B180">
        <v>46078</v>
      </c>
      <c r="C180" t="str">
        <v>Gasto</v>
      </c>
      <c r="D180" t="str">
        <v>Dulce de Leche</v>
      </c>
      <c r="E180">
        <v>3</v>
      </c>
      <c r="F180" t="str">
        <v>Interbank</v>
      </c>
      <c r="G180" t="str">
        <v>Febrero</v>
      </c>
    </row>
    <row r="181">
      <c r="A181" t="str">
        <v>Ingreso</v>
      </c>
      <c r="B181">
        <v>46082</v>
      </c>
      <c r="C181" t="str">
        <v>Otro Ing</v>
      </c>
      <c r="D181" t="str">
        <v>Bonificación Ahorro</v>
      </c>
      <c r="E181">
        <v>154.46</v>
      </c>
      <c r="F181" t="str">
        <v>Interbank</v>
      </c>
      <c r="G181" t="str">
        <v>Marzo</v>
      </c>
    </row>
    <row r="182">
      <c r="A182" t="str">
        <v>Ingreso</v>
      </c>
      <c r="B182">
        <v>46082</v>
      </c>
      <c r="C182" t="str">
        <v>Sueldo</v>
      </c>
      <c r="D182" t="str">
        <v>Sueldo</v>
      </c>
      <c r="E182">
        <v>2073.06</v>
      </c>
      <c r="F182" t="str">
        <v>Interbank</v>
      </c>
      <c r="G182" t="str">
        <v>Marzo</v>
      </c>
    </row>
    <row r="183">
      <c r="A183" t="str">
        <v>Ingreso</v>
      </c>
      <c r="B183">
        <v>46082</v>
      </c>
      <c r="C183" t="str">
        <v>Tarjeta</v>
      </c>
      <c r="D183" t="str">
        <v>Linea Tarjeta</v>
      </c>
      <c r="E183">
        <v>431.15</v>
      </c>
      <c r="F183" t="str">
        <v>Interbank Amex</v>
      </c>
      <c r="G183" t="str">
        <v>Marzo</v>
      </c>
    </row>
    <row r="184">
      <c r="A184" t="str">
        <v>Egreso</v>
      </c>
      <c r="B184">
        <v>46082</v>
      </c>
      <c r="C184" t="str">
        <v>Servicio</v>
      </c>
      <c r="D184" t="str">
        <v>Internet</v>
      </c>
      <c r="E184">
        <v>79</v>
      </c>
      <c r="F184" t="str">
        <v>Interbank Amex</v>
      </c>
      <c r="G184" t="str">
        <v>Marzo</v>
      </c>
    </row>
    <row r="185">
      <c r="A185" t="str">
        <v>Egreso</v>
      </c>
      <c r="B185">
        <v>46082</v>
      </c>
      <c r="C185" t="str">
        <v>Servicio</v>
      </c>
      <c r="D185" t="str">
        <v>Luz</v>
      </c>
      <c r="E185">
        <v>111.5</v>
      </c>
      <c r="F185" t="str">
        <v>Interbank Amex</v>
      </c>
      <c r="G185" t="str">
        <v>Marzo</v>
      </c>
    </row>
    <row r="186">
      <c r="A186" t="str">
        <v>Egreso</v>
      </c>
      <c r="B186">
        <v>46082</v>
      </c>
      <c r="C186" t="str">
        <v>Servicio</v>
      </c>
      <c r="D186" t="str">
        <v>Gas</v>
      </c>
      <c r="E186">
        <v>35.8</v>
      </c>
      <c r="F186" t="str">
        <v>Interbank Amex</v>
      </c>
      <c r="G186" t="str">
        <v>Marzo</v>
      </c>
    </row>
    <row r="187">
      <c r="A187" t="str">
        <v>Ingreso</v>
      </c>
      <c r="B187">
        <v>46082</v>
      </c>
      <c r="C187" t="str">
        <v>Sueldo</v>
      </c>
      <c r="D187" t="str">
        <v>AFP</v>
      </c>
      <c r="E187">
        <v>1050</v>
      </c>
      <c r="F187" t="str">
        <v>Interbank</v>
      </c>
      <c r="G187" t="str">
        <v>Marzo</v>
      </c>
    </row>
    <row r="188">
      <c r="A188" t="str">
        <v>Egreso</v>
      </c>
      <c r="B188">
        <v>46082</v>
      </c>
      <c r="C188" t="str">
        <v>Gasto</v>
      </c>
      <c r="D188" t="str">
        <v>Viaje Argentina</v>
      </c>
      <c r="E188">
        <v>4052</v>
      </c>
      <c r="F188" t="str">
        <v>Interbank</v>
      </c>
      <c r="G188" t="str">
        <v>Marzo</v>
      </c>
    </row>
    <row r="189">
      <c r="A189" t="str">
        <v>Egreso</v>
      </c>
      <c r="B189">
        <v>46082</v>
      </c>
      <c r="C189" t="str">
        <v>Gasto</v>
      </c>
      <c r="D189" t="str">
        <v>Concierto Rawayana</v>
      </c>
      <c r="E189">
        <v>180</v>
      </c>
      <c r="F189" t="str">
        <v>Interbank</v>
      </c>
      <c r="G189" t="str">
        <v>Marzo</v>
      </c>
    </row>
    <row r="190">
      <c r="A190" t="str">
        <v>Egreso</v>
      </c>
      <c r="B190">
        <v>46082</v>
      </c>
      <c r="C190" t="str">
        <v>Gasto</v>
      </c>
      <c r="D190" t="str">
        <v>Jacko</v>
      </c>
      <c r="E190">
        <v>70</v>
      </c>
      <c r="F190" t="str">
        <v>Interbank</v>
      </c>
      <c r="G190" t="str">
        <v>Marzo</v>
      </c>
    </row>
    <row r="191">
      <c r="A191" t="str">
        <v>Egreso</v>
      </c>
      <c r="B191">
        <v>46082</v>
      </c>
      <c r="C191" t="str">
        <v>Gasto</v>
      </c>
      <c r="D191" t="str">
        <v>Corte de Cabello</v>
      </c>
      <c r="E191">
        <v>20</v>
      </c>
      <c r="F191" t="str">
        <v>Interbank</v>
      </c>
      <c r="G191" t="str">
        <v>Marzo</v>
      </c>
    </row>
    <row r="192">
      <c r="A192" t="str">
        <v>Egreso</v>
      </c>
      <c r="B192">
        <v>46082</v>
      </c>
      <c r="C192" t="str">
        <v>Servicio</v>
      </c>
      <c r="D192" t="str">
        <v>Agua + Mantenimiento</v>
      </c>
      <c r="E192">
        <v>121.5</v>
      </c>
      <c r="F192" t="str">
        <v>Interbank</v>
      </c>
      <c r="G192" t="str">
        <v>Marzo</v>
      </c>
    </row>
    <row r="193">
      <c r="A193" t="str">
        <v>Egreso</v>
      </c>
      <c r="B193">
        <v>46082</v>
      </c>
      <c r="C193" t="str">
        <v>Gasto</v>
      </c>
      <c r="D193" t="str">
        <v>Shawarma</v>
      </c>
      <c r="E193">
        <v>13</v>
      </c>
      <c r="F193" t="str">
        <v>Interbank</v>
      </c>
      <c r="G193" t="str">
        <v>Marzo</v>
      </c>
    </row>
    <row r="194">
      <c r="A194" t="str">
        <v>Ingreso</v>
      </c>
      <c r="B194">
        <v>46082</v>
      </c>
      <c r="C194" t="str">
        <v>Otro Ing</v>
      </c>
      <c r="D194" t="str">
        <v>Aaron</v>
      </c>
      <c r="E194">
        <v>80</v>
      </c>
      <c r="F194" t="str">
        <v>Interbank</v>
      </c>
      <c r="G194" t="str">
        <v>Marzo</v>
      </c>
    </row>
    <row r="195">
      <c r="A195" t="str">
        <v>Egreso</v>
      </c>
      <c r="B195">
        <v>46082</v>
      </c>
      <c r="C195" t="str">
        <v>Gasto</v>
      </c>
      <c r="D195" t="str">
        <v>Maleta</v>
      </c>
      <c r="E195">
        <v>110</v>
      </c>
      <c r="F195" t="str">
        <v>Interbank</v>
      </c>
      <c r="G195" t="str">
        <v>Marzo</v>
      </c>
    </row>
    <row r="196">
      <c r="A196" t="str">
        <v>Egreso</v>
      </c>
      <c r="B196">
        <v>46082</v>
      </c>
      <c r="C196" t="str">
        <v>Gasto</v>
      </c>
      <c r="D196" t="str">
        <v>Cumpleaños Abuela</v>
      </c>
      <c r="E196">
        <v>74.7</v>
      </c>
      <c r="F196" t="str">
        <v>Interbank</v>
      </c>
      <c r="G196" t="str">
        <v>Marzo</v>
      </c>
    </row>
    <row r="197">
      <c r="A197" t="str">
        <v>Egreso</v>
      </c>
      <c r="B197">
        <v>46082</v>
      </c>
      <c r="C197" t="str">
        <v>Gasto</v>
      </c>
      <c r="D197" t="str">
        <v>Pantalon</v>
      </c>
      <c r="E197">
        <v>99</v>
      </c>
      <c r="F197" t="str">
        <v>Interbank</v>
      </c>
      <c r="G197" t="str">
        <v>Marzo</v>
      </c>
    </row>
    <row r="198">
      <c r="A198" t="str">
        <v>Egreso</v>
      </c>
      <c r="B198">
        <v>46082</v>
      </c>
      <c r="C198" t="str">
        <v>Gasto</v>
      </c>
      <c r="D198" t="str">
        <v>Taxi</v>
      </c>
      <c r="E198">
        <v>20</v>
      </c>
      <c r="F198" t="str">
        <v>Interbank</v>
      </c>
      <c r="G198" t="str">
        <v>Marzo</v>
      </c>
    </row>
    <row r="199">
      <c r="A199" t="str">
        <v>Egreso</v>
      </c>
      <c r="B199">
        <v>46082</v>
      </c>
      <c r="C199" t="str">
        <v>Gasto</v>
      </c>
      <c r="D199" t="str">
        <v>Polo</v>
      </c>
      <c r="E199">
        <v>55</v>
      </c>
      <c r="F199" t="str">
        <v>Interbank</v>
      </c>
      <c r="G199" t="str">
        <v>Marzo</v>
      </c>
    </row>
    <row r="200">
      <c r="A200" t="str">
        <v>Egreso</v>
      </c>
      <c r="B200">
        <v>46082</v>
      </c>
      <c r="C200" t="str">
        <v>Gasto</v>
      </c>
      <c r="D200" t="str">
        <v>Camisa</v>
      </c>
      <c r="E200">
        <v>40</v>
      </c>
      <c r="F200" t="str">
        <v>Interbank</v>
      </c>
      <c r="G200" t="str">
        <v>Marzo</v>
      </c>
    </row>
    <row r="201">
      <c r="A201" t="str">
        <v>Egreso</v>
      </c>
      <c r="B201">
        <v>46082</v>
      </c>
      <c r="C201" t="str">
        <v>Gasto</v>
      </c>
      <c r="D201" t="str">
        <v>Café</v>
      </c>
      <c r="E201">
        <v>71.03</v>
      </c>
      <c r="F201" t="str">
        <v>Interbank Amex</v>
      </c>
      <c r="G201" t="str">
        <v>Marzo</v>
      </c>
    </row>
    <row r="202">
      <c r="A202" t="str">
        <v>Egreso</v>
      </c>
      <c r="B202">
        <v>46082</v>
      </c>
      <c r="C202" t="str">
        <v>Servicio</v>
      </c>
      <c r="D202" t="str">
        <v>Agua Mineral</v>
      </c>
      <c r="E202">
        <v>1.91</v>
      </c>
      <c r="F202" t="str">
        <v>Interbank</v>
      </c>
      <c r="G202" t="str">
        <v>Marzo</v>
      </c>
    </row>
    <row r="203">
      <c r="A203" t="str">
        <v>Egreso</v>
      </c>
      <c r="B203">
        <v>46082</v>
      </c>
      <c r="C203" t="str">
        <v>Gasto</v>
      </c>
      <c r="D203" t="str">
        <v>Broaster</v>
      </c>
      <c r="E203">
        <v>22.8</v>
      </c>
      <c r="F203" t="str">
        <v>Interbank</v>
      </c>
      <c r="G203" t="str">
        <v>Marzo</v>
      </c>
    </row>
    <row r="204">
      <c r="A204" t="str">
        <v>Egreso</v>
      </c>
      <c r="B204">
        <v>46082</v>
      </c>
      <c r="C204" t="str">
        <v>Gasto</v>
      </c>
      <c r="D204" t="str">
        <v>Broaster</v>
      </c>
      <c r="E204">
        <v>10</v>
      </c>
      <c r="F204" t="str">
        <v>Interbank</v>
      </c>
      <c r="G204" t="str">
        <v>Marzo</v>
      </c>
    </row>
    <row r="205">
      <c r="A205" t="str">
        <v>Egreso</v>
      </c>
      <c r="B205">
        <v>46082</v>
      </c>
      <c r="C205" t="str">
        <v>Gasto</v>
      </c>
      <c r="D205" t="str">
        <v>Mercado</v>
      </c>
      <c r="E205">
        <v>5</v>
      </c>
      <c r="F205" t="str">
        <v>Interbank</v>
      </c>
      <c r="G205" t="str">
        <v>Marzo</v>
      </c>
    </row>
    <row r="206">
      <c r="A206" t="str">
        <v>Egreso</v>
      </c>
      <c r="B206">
        <v>46082</v>
      </c>
      <c r="C206" t="str">
        <v>Servicio</v>
      </c>
      <c r="D206" t="str">
        <v>Spotify</v>
      </c>
      <c r="E206">
        <v>11.9</v>
      </c>
      <c r="F206" t="str">
        <v>Interbank Amex</v>
      </c>
      <c r="G206" t="str">
        <v>Marzo</v>
      </c>
    </row>
    <row r="207">
      <c r="A207" t="str">
        <v>Egreso</v>
      </c>
      <c r="B207">
        <v>46083</v>
      </c>
      <c r="C207" t="str">
        <v>Servicio</v>
      </c>
      <c r="D207" t="str">
        <v>Streaming</v>
      </c>
      <c r="E207">
        <v>12</v>
      </c>
      <c r="F207" t="str">
        <v>Interbank</v>
      </c>
      <c r="G207" t="str">
        <v>Marzo</v>
      </c>
    </row>
    <row r="208">
      <c r="A208" t="str">
        <v>Egreso</v>
      </c>
      <c r="B208">
        <v>46084</v>
      </c>
      <c r="C208" t="str">
        <v>Gasto</v>
      </c>
      <c r="D208" t="str">
        <v>Detergente</v>
      </c>
      <c r="E208">
        <v>5.5</v>
      </c>
      <c r="F208" t="str">
        <v>Interbank Amex</v>
      </c>
      <c r="G208" t="str">
        <v>Marzo</v>
      </c>
    </row>
    <row r="209">
      <c r="A209" t="str">
        <v>Egreso</v>
      </c>
      <c r="B209">
        <v>46084</v>
      </c>
      <c r="C209" t="str">
        <v>Gasto</v>
      </c>
      <c r="D209" t="str">
        <v>Papel Higiénico</v>
      </c>
      <c r="E209">
        <v>5.5</v>
      </c>
      <c r="F209" t="str">
        <v>Interbank Amex</v>
      </c>
      <c r="G209" t="str">
        <v>Marzo</v>
      </c>
    </row>
    <row r="210">
      <c r="A210" t="str">
        <v>Egreso</v>
      </c>
      <c r="B210">
        <v>46084</v>
      </c>
      <c r="C210" t="str">
        <v>Gasto</v>
      </c>
      <c r="D210" t="str">
        <v>Pasta Dental</v>
      </c>
      <c r="E210">
        <v>5.49</v>
      </c>
      <c r="F210" t="str">
        <v>Interbank Amex</v>
      </c>
      <c r="G210" t="str">
        <v>Marzo</v>
      </c>
    </row>
    <row r="211">
      <c r="A211" t="str">
        <v>Egreso</v>
      </c>
      <c r="B211">
        <v>46084</v>
      </c>
      <c r="C211" t="str">
        <v>Gasto</v>
      </c>
      <c r="D211" t="str">
        <v>Shampoo</v>
      </c>
      <c r="E211">
        <v>8.48</v>
      </c>
      <c r="F211" t="str">
        <v>Interbank Amex</v>
      </c>
      <c r="G211" t="str">
        <v>Marzo</v>
      </c>
    </row>
    <row r="212">
      <c r="A212" t="str">
        <v>Egreso</v>
      </c>
      <c r="B212">
        <v>46084</v>
      </c>
      <c r="C212" t="str">
        <v>Gasto</v>
      </c>
      <c r="D212" t="str">
        <v>Pollo a la Brasa</v>
      </c>
      <c r="E212">
        <v>12.5</v>
      </c>
      <c r="F212" t="str">
        <v>Interbank</v>
      </c>
      <c r="G212" t="str">
        <v>Marzo</v>
      </c>
    </row>
    <row r="213">
      <c r="A213" t="str">
        <v>Egreso</v>
      </c>
      <c r="B213">
        <v>46084</v>
      </c>
      <c r="C213" t="str">
        <v>Gasto</v>
      </c>
      <c r="D213" t="str">
        <v>Dollarcity</v>
      </c>
      <c r="E213">
        <v>17</v>
      </c>
      <c r="F213" t="str">
        <v>Interbank</v>
      </c>
      <c r="G213" t="str">
        <v>Marzo</v>
      </c>
    </row>
    <row r="214">
      <c r="A214" t="str">
        <v>Egreso</v>
      </c>
      <c r="B214">
        <v>46085</v>
      </c>
      <c r="C214" t="str">
        <v>Gasto</v>
      </c>
      <c r="D214" t="str">
        <v>Zapatillas</v>
      </c>
      <c r="E214">
        <v>20</v>
      </c>
      <c r="F214" t="str">
        <v>Interbank</v>
      </c>
      <c r="G214" t="str">
        <v>Marzo</v>
      </c>
    </row>
    <row r="215">
      <c r="A215" t="str">
        <v>Egreso</v>
      </c>
      <c r="B215">
        <v>46085</v>
      </c>
      <c r="C215" t="str">
        <v>Gasto</v>
      </c>
      <c r="D215" t="str">
        <v>Broaster</v>
      </c>
      <c r="E215">
        <v>9.09</v>
      </c>
      <c r="F215" t="str">
        <v>Interbank</v>
      </c>
      <c r="G215" t="str">
        <v>Marzo</v>
      </c>
    </row>
    <row r="216">
      <c r="A216" t="str">
        <v>Egreso</v>
      </c>
      <c r="B216">
        <v>46085</v>
      </c>
      <c r="C216" t="str">
        <v>Servicio</v>
      </c>
      <c r="D216" t="str">
        <v>Gaseosa</v>
      </c>
      <c r="E216">
        <v>4.06</v>
      </c>
      <c r="F216" t="str">
        <v>Interbank Amex</v>
      </c>
      <c r="G216" t="str">
        <v>Marzo</v>
      </c>
    </row>
    <row r="217">
      <c r="A217" t="str">
        <v>Egreso</v>
      </c>
      <c r="B217">
        <v>46086</v>
      </c>
      <c r="C217" t="str">
        <v>Gasto</v>
      </c>
      <c r="D217" t="str">
        <v>Galleta</v>
      </c>
      <c r="E217">
        <v>3</v>
      </c>
      <c r="F217" t="str">
        <v>Interbank</v>
      </c>
      <c r="G217" t="str">
        <v>Marzo</v>
      </c>
    </row>
    <row r="218">
      <c r="A218" t="str">
        <v>Egreso</v>
      </c>
      <c r="B218">
        <v>46086</v>
      </c>
      <c r="C218" t="str">
        <v>Gasto</v>
      </c>
      <c r="D218" t="str">
        <v>Casaca</v>
      </c>
      <c r="E218">
        <v>10</v>
      </c>
      <c r="F218" t="str">
        <v>Interbank</v>
      </c>
      <c r="G218" t="str">
        <v>Marzo</v>
      </c>
    </row>
    <row r="219">
      <c r="A219" t="str">
        <v>Egreso</v>
      </c>
      <c r="B219">
        <v>46087</v>
      </c>
      <c r="C219" t="str">
        <v>Gasto</v>
      </c>
      <c r="D219" t="str">
        <v>Madre</v>
      </c>
      <c r="E219">
        <v>10</v>
      </c>
      <c r="F219" t="str">
        <v>Interbank</v>
      </c>
      <c r="G219" t="str">
        <v>Marzo</v>
      </c>
    </row>
    <row r="220">
      <c r="A220" t="str">
        <v>Egreso</v>
      </c>
      <c r="B220">
        <v>46088</v>
      </c>
      <c r="C220" t="str">
        <v>Gasto</v>
      </c>
      <c r="D220" t="str">
        <v>Broaster</v>
      </c>
      <c r="E220">
        <v>17</v>
      </c>
      <c r="F220" t="str">
        <v>Interbank</v>
      </c>
      <c r="G220" t="str">
        <v>Marzo</v>
      </c>
    </row>
    <row r="221">
      <c r="A221" t="str">
        <v>Egreso</v>
      </c>
      <c r="B221">
        <v>46088</v>
      </c>
      <c r="C221" t="str">
        <v>Servicio</v>
      </c>
      <c r="D221" t="str">
        <v>Gaseosa</v>
      </c>
      <c r="E221">
        <v>2</v>
      </c>
      <c r="F221" t="str">
        <v>Interbank</v>
      </c>
      <c r="G221" t="str">
        <v>Marzo</v>
      </c>
    </row>
    <row r="222">
      <c r="A222" t="str">
        <v>Egreso</v>
      </c>
      <c r="B222">
        <v>46088</v>
      </c>
      <c r="C222" t="str">
        <v>Gasto</v>
      </c>
      <c r="D222" t="str">
        <v>Polo</v>
      </c>
      <c r="E222">
        <v>50</v>
      </c>
      <c r="F222" t="str">
        <v>Interbank</v>
      </c>
      <c r="G222" t="str">
        <v>Marzo</v>
      </c>
    </row>
    <row r="223">
      <c r="A223" t="str">
        <v>Egreso</v>
      </c>
      <c r="B223">
        <v>46088</v>
      </c>
      <c r="C223" t="str">
        <v>Gasto</v>
      </c>
      <c r="D223" t="str">
        <v>Ron</v>
      </c>
      <c r="E223">
        <v>50</v>
      </c>
      <c r="F223" t="str">
        <v>Interbank</v>
      </c>
      <c r="G223" t="str">
        <v>Marzo</v>
      </c>
    </row>
    <row r="224">
      <c r="A224" t="str">
        <v>Egreso</v>
      </c>
      <c r="B224">
        <v>46088</v>
      </c>
      <c r="C224" t="str">
        <v>Servicio</v>
      </c>
      <c r="D224" t="str">
        <v>Gaseosa</v>
      </c>
      <c r="E224">
        <v>6</v>
      </c>
      <c r="F224" t="str">
        <v>Interbank Amex</v>
      </c>
      <c r="G224" t="str">
        <v>Marzo</v>
      </c>
    </row>
    <row r="225">
      <c r="A225" t="str">
        <v>Egreso</v>
      </c>
      <c r="B225">
        <v>46089</v>
      </c>
      <c r="C225" t="str">
        <v>Gasto</v>
      </c>
      <c r="D225" t="str">
        <v>Vino</v>
      </c>
      <c r="E225">
        <v>70</v>
      </c>
      <c r="F225" t="str">
        <v>Interbank</v>
      </c>
      <c r="G225" t="str">
        <v>Marzo</v>
      </c>
    </row>
    <row r="226">
      <c r="A226" t="str">
        <v>Egreso</v>
      </c>
      <c r="B226">
        <v>46090</v>
      </c>
      <c r="C226" t="str">
        <v>Gasto</v>
      </c>
      <c r="D226" t="str">
        <v>Shampoo</v>
      </c>
      <c r="E226">
        <v>20</v>
      </c>
      <c r="F226" t="str">
        <v>Interbank</v>
      </c>
      <c r="G226" t="str">
        <v>Marzo</v>
      </c>
    </row>
    <row r="227">
      <c r="A227" t="str">
        <v>Egreso</v>
      </c>
      <c r="B227">
        <v>46090</v>
      </c>
      <c r="C227" t="str">
        <v>Gasto</v>
      </c>
      <c r="D227" t="str">
        <v>Broaster</v>
      </c>
      <c r="E227">
        <v>12</v>
      </c>
      <c r="F227" t="str">
        <v>Interbank</v>
      </c>
      <c r="G227" t="str">
        <v>Marzo</v>
      </c>
    </row>
    <row r="228">
      <c r="A228" t="str">
        <v>Egreso</v>
      </c>
      <c r="B228">
        <v>46091</v>
      </c>
      <c r="C228" t="str">
        <v>Gasto</v>
      </c>
      <c r="D228" t="str">
        <v>Taxi</v>
      </c>
      <c r="E228">
        <v>40</v>
      </c>
      <c r="F228" t="str">
        <v>Interbank</v>
      </c>
      <c r="G228" t="str">
        <v>Marzo</v>
      </c>
    </row>
    <row r="229">
      <c r="A229" t="str">
        <v>Egreso</v>
      </c>
      <c r="B229">
        <v>46091</v>
      </c>
      <c r="C229" t="str">
        <v>Gasto</v>
      </c>
      <c r="D229" t="str">
        <v>Detergente</v>
      </c>
      <c r="E229">
        <v>2.21</v>
      </c>
      <c r="F229" t="str">
        <v>Interbank Amex</v>
      </c>
      <c r="G229" t="str">
        <v>Marzo</v>
      </c>
    </row>
    <row r="230">
      <c r="A230" t="str">
        <v>Egreso</v>
      </c>
      <c r="B230">
        <v>46091</v>
      </c>
      <c r="C230" t="str">
        <v>Gasto</v>
      </c>
      <c r="D230" t="str">
        <v>Papel Higiénico</v>
      </c>
      <c r="E230">
        <v>2.21</v>
      </c>
      <c r="F230" t="str">
        <v>Interbank Amex</v>
      </c>
      <c r="G230" t="str">
        <v>Marzo</v>
      </c>
    </row>
    <row r="231">
      <c r="A231" t="str">
        <v>Egreso</v>
      </c>
      <c r="B231">
        <v>46091</v>
      </c>
      <c r="C231" t="str">
        <v>Gasto</v>
      </c>
      <c r="D231" t="str">
        <v>Pasta Dental</v>
      </c>
      <c r="E231">
        <v>2.21</v>
      </c>
      <c r="F231" t="str">
        <v>Interbank Amex</v>
      </c>
      <c r="G231" t="str">
        <v>Marzo</v>
      </c>
    </row>
    <row r="232">
      <c r="A232" t="str">
        <v>Egreso</v>
      </c>
      <c r="B232">
        <v>46091</v>
      </c>
      <c r="C232" t="str">
        <v>Gasto</v>
      </c>
      <c r="D232" t="str">
        <v>Torta de Chocolate</v>
      </c>
      <c r="E232">
        <v>16.98</v>
      </c>
      <c r="F232" t="str">
        <v>Interbank</v>
      </c>
      <c r="G232" t="str">
        <v>Marzo</v>
      </c>
    </row>
    <row r="233">
      <c r="A233" t="str">
        <v>Egreso</v>
      </c>
      <c r="B233">
        <v>46095</v>
      </c>
      <c r="C233" t="str">
        <v>Servicio</v>
      </c>
      <c r="D233" t="str">
        <v>iCloud</v>
      </c>
      <c r="E233">
        <v>4.02</v>
      </c>
      <c r="F233" t="str">
        <v>Interbank</v>
      </c>
      <c r="G233" t="str">
        <v>Marzo</v>
      </c>
    </row>
    <row r="234">
      <c r="A234" t="str">
        <v>Egreso</v>
      </c>
      <c r="B234">
        <v>46096</v>
      </c>
      <c r="C234" t="str">
        <v>Deuda</v>
      </c>
      <c r="D234" t="str">
        <v>Yape Crédito</v>
      </c>
      <c r="E234">
        <v>60.36</v>
      </c>
      <c r="F234" t="str">
        <v>Interbank</v>
      </c>
      <c r="G234" t="str">
        <v>Marzo</v>
      </c>
    </row>
    <row r="235">
      <c r="A235" t="str">
        <v>Egreso</v>
      </c>
      <c r="B235">
        <v>46096</v>
      </c>
      <c r="C235" t="str">
        <v>Servicio</v>
      </c>
      <c r="D235" t="str">
        <v>Telefonia Movil</v>
      </c>
      <c r="E235">
        <v>39.9</v>
      </c>
      <c r="F235" t="str">
        <v>Interbank Amex</v>
      </c>
      <c r="G235" t="str">
        <v>Marzo</v>
      </c>
    </row>
    <row r="236">
      <c r="A236" t="str">
        <v>Ingreso</v>
      </c>
      <c r="B236">
        <v>46096</v>
      </c>
      <c r="C236" t="str">
        <v>Otro Ing</v>
      </c>
      <c r="D236" t="str">
        <v>Venta de iPhone</v>
      </c>
      <c r="E236">
        <v>100</v>
      </c>
      <c r="F236" t="str">
        <v>Interbank</v>
      </c>
      <c r="G236" t="str">
        <v>Marzo</v>
      </c>
    </row>
    <row r="237">
      <c r="A237" t="str">
        <v>Ingreso</v>
      </c>
      <c r="B237">
        <v>46096</v>
      </c>
      <c r="C237" t="str">
        <v>Otro Ing</v>
      </c>
      <c r="D237" t="str">
        <v>Jacko</v>
      </c>
      <c r="E237">
        <v>80</v>
      </c>
      <c r="F237" t="str">
        <v>Interbank</v>
      </c>
      <c r="G237" t="str">
        <v>Marzo</v>
      </c>
    </row>
    <row r="238">
      <c r="A238" t="str">
        <v>Egreso</v>
      </c>
      <c r="B238">
        <v>46102</v>
      </c>
      <c r="C238" t="str">
        <v>Gasto</v>
      </c>
      <c r="D238" t="str">
        <v>Cumpleaños Madre</v>
      </c>
      <c r="E238">
        <v>115.7</v>
      </c>
      <c r="F238" t="str">
        <v>Interbank</v>
      </c>
      <c r="G238" t="str">
        <v>Marzo</v>
      </c>
    </row>
    <row r="239">
      <c r="A239" t="str">
        <v>Egreso</v>
      </c>
      <c r="B239">
        <v>46102</v>
      </c>
      <c r="C239" t="str">
        <v>Gasto</v>
      </c>
      <c r="D239" t="str">
        <v>Broaster</v>
      </c>
      <c r="E239">
        <v>22.94</v>
      </c>
      <c r="F239" t="str">
        <v>Interbank</v>
      </c>
      <c r="G239" t="str">
        <v>Marzo</v>
      </c>
    </row>
    <row r="240">
      <c r="A240" t="str">
        <v>Egreso</v>
      </c>
      <c r="B240">
        <v>46105</v>
      </c>
      <c r="C240" t="str">
        <v>Gasto</v>
      </c>
      <c r="D240" t="str">
        <v>Bus</v>
      </c>
      <c r="E240">
        <v>3.5</v>
      </c>
      <c r="F240" t="str">
        <v>Interbank</v>
      </c>
      <c r="G240" t="str">
        <v>Marzo</v>
      </c>
    </row>
    <row r="241">
      <c r="A241" t="str">
        <v>Egreso</v>
      </c>
      <c r="B241">
        <v>46105</v>
      </c>
      <c r="C241" t="str">
        <v>Gasto</v>
      </c>
      <c r="D241" t="str">
        <v>Hamburguesa</v>
      </c>
      <c r="E241">
        <v>6.78</v>
      </c>
      <c r="F241" t="str">
        <v>Interbank Amex</v>
      </c>
      <c r="G241" t="str">
        <v>Marzo</v>
      </c>
    </row>
    <row r="242">
      <c r="A242" t="str">
        <v>Egreso</v>
      </c>
      <c r="B242">
        <v>46107</v>
      </c>
      <c r="C242" t="str">
        <v>Gasto</v>
      </c>
      <c r="D242" t="str">
        <v>Bus</v>
      </c>
      <c r="E242">
        <v>6</v>
      </c>
      <c r="F242" t="str">
        <v>Interbank</v>
      </c>
      <c r="G242" t="str">
        <v>Marzo</v>
      </c>
    </row>
    <row r="243">
      <c r="A243" t="str">
        <v>Ingreso</v>
      </c>
      <c r="B243">
        <v>46113</v>
      </c>
      <c r="C243" t="str">
        <v>Otro Ing</v>
      </c>
      <c r="D243" t="str">
        <v>Bonificación Ahorro</v>
      </c>
      <c r="E243">
        <v>42.04</v>
      </c>
      <c r="F243" t="str">
        <v>Interbank</v>
      </c>
      <c r="G243" t="str">
        <v>Abril</v>
      </c>
    </row>
    <row r="244">
      <c r="A244" t="str">
        <v>Ingreso</v>
      </c>
      <c r="B244">
        <v>46113</v>
      </c>
      <c r="C244" t="str">
        <v>Sueldo</v>
      </c>
      <c r="D244" t="str">
        <v>Sueldo</v>
      </c>
      <c r="E244">
        <v>2259.63</v>
      </c>
      <c r="F244" t="str">
        <v>Interbank</v>
      </c>
      <c r="G244" t="str">
        <v>Abril</v>
      </c>
    </row>
    <row r="245">
      <c r="A245" t="str">
        <v>Egreso</v>
      </c>
      <c r="B245">
        <v>46113</v>
      </c>
      <c r="C245" t="str">
        <v>Deuda</v>
      </c>
      <c r="D245" t="str">
        <v>Pago de Tarjeta Interbank Amex</v>
      </c>
      <c r="E245">
        <v>1010</v>
      </c>
      <c r="F245" t="str">
        <v>Interbank</v>
      </c>
      <c r="G245" t="str">
        <v>Abril</v>
      </c>
    </row>
    <row r="246">
      <c r="A246" t="str">
        <v>Egreso</v>
      </c>
      <c r="B246">
        <v>46113</v>
      </c>
      <c r="C246" t="str">
        <v>Deuda</v>
      </c>
      <c r="D246" t="str">
        <v>Pago de Tarjeta Interbank Amex</v>
      </c>
      <c r="E246">
        <v>20</v>
      </c>
      <c r="F246" t="str">
        <v>Interbank</v>
      </c>
      <c r="G246" t="str">
        <v>Abril</v>
      </c>
    </row>
    <row r="247">
      <c r="A247" t="str">
        <v>Egreso</v>
      </c>
      <c r="B247">
        <v>46113</v>
      </c>
      <c r="C247" t="str">
        <v>Gasto</v>
      </c>
      <c r="D247" t="str">
        <v>iPhone 16</v>
      </c>
      <c r="E247">
        <v>245.75</v>
      </c>
      <c r="F247" t="str">
        <v>Interbank</v>
      </c>
      <c r="G247" t="str">
        <v>Abril</v>
      </c>
    </row>
    <row r="248">
      <c r="A248" t="str">
        <v>Ingreso</v>
      </c>
      <c r="B248">
        <v>46113</v>
      </c>
      <c r="C248" t="str">
        <v>Tarjeta</v>
      </c>
      <c r="D248" t="str">
        <v>Linea Tarjeta</v>
      </c>
      <c r="E248">
        <v>1000</v>
      </c>
      <c r="F248" t="str">
        <v>Interbank Amex</v>
      </c>
      <c r="G248" t="str">
        <v>Abril</v>
      </c>
    </row>
    <row r="249">
      <c r="A249" t="str">
        <v>Egreso</v>
      </c>
      <c r="B249">
        <v>46113</v>
      </c>
      <c r="C249" t="str">
        <v>Gasto</v>
      </c>
      <c r="D249" t="str">
        <v>Viaje Laraos</v>
      </c>
      <c r="E249">
        <v>80</v>
      </c>
      <c r="F249" t="str">
        <v>Interbank</v>
      </c>
      <c r="G249" t="str">
        <v>Abril</v>
      </c>
    </row>
    <row r="250">
      <c r="A250" t="str">
        <v>Egreso</v>
      </c>
      <c r="B250">
        <v>46113</v>
      </c>
      <c r="C250" t="str">
        <v>Gasto</v>
      </c>
      <c r="D250" t="str">
        <v>Viaje Piura</v>
      </c>
      <c r="E250">
        <v>195</v>
      </c>
      <c r="F250" t="str">
        <v>Interbank</v>
      </c>
      <c r="G250" t="str">
        <v>Abril</v>
      </c>
    </row>
    <row r="251">
      <c r="A251" t="str">
        <v>Egreso</v>
      </c>
      <c r="B251">
        <v>46113</v>
      </c>
      <c r="C251" t="str">
        <v>Gasto</v>
      </c>
      <c r="D251" t="str">
        <v>Broaster</v>
      </c>
      <c r="E251">
        <v>18</v>
      </c>
      <c r="F251" t="str">
        <v>Interbank</v>
      </c>
      <c r="G251" t="str">
        <v>Abril</v>
      </c>
    </row>
    <row r="252">
      <c r="A252" t="str">
        <v>Egreso</v>
      </c>
      <c r="B252">
        <v>46113</v>
      </c>
      <c r="C252" t="str">
        <v>Gasto</v>
      </c>
      <c r="D252" t="str">
        <v>Chifa</v>
      </c>
      <c r="E252">
        <v>36.63</v>
      </c>
      <c r="F252" t="str">
        <v>Interbank Amex</v>
      </c>
      <c r="G252" t="str">
        <v>Abril</v>
      </c>
    </row>
    <row r="253">
      <c r="A253" t="str">
        <v>Egreso</v>
      </c>
      <c r="B253">
        <v>46113</v>
      </c>
      <c r="C253" t="str">
        <v>Gasto</v>
      </c>
      <c r="D253" t="str">
        <v>Menú</v>
      </c>
      <c r="E253">
        <v>12</v>
      </c>
      <c r="F253" t="str">
        <v>Interbank</v>
      </c>
      <c r="G253" t="str">
        <v>Abril</v>
      </c>
    </row>
    <row r="254">
      <c r="A254" t="str">
        <v>Egreso</v>
      </c>
      <c r="B254">
        <v>46113</v>
      </c>
      <c r="C254" t="str">
        <v>Servicio</v>
      </c>
      <c r="D254" t="str">
        <v>Internet</v>
      </c>
      <c r="E254">
        <v>79</v>
      </c>
      <c r="F254" t="str">
        <v>Interbank Amex</v>
      </c>
      <c r="G254" t="str">
        <v>Abril</v>
      </c>
    </row>
    <row r="255">
      <c r="A255" t="str">
        <v>Egreso</v>
      </c>
      <c r="B255">
        <v>46113</v>
      </c>
      <c r="C255" t="str">
        <v>Gasto</v>
      </c>
      <c r="D255" t="str">
        <v>Viaje Raura</v>
      </c>
      <c r="E255">
        <v>135</v>
      </c>
      <c r="F255" t="str">
        <v>Interbank</v>
      </c>
      <c r="G255" t="str">
        <v>Abril</v>
      </c>
    </row>
    <row r="256">
      <c r="A256" t="str">
        <v>Egreso</v>
      </c>
      <c r="B256">
        <v>46113</v>
      </c>
      <c r="C256" t="str">
        <v>Gasto</v>
      </c>
      <c r="D256" t="str">
        <v>Broaster</v>
      </c>
      <c r="E256">
        <v>13.5</v>
      </c>
      <c r="F256" t="str">
        <v>Interbank</v>
      </c>
      <c r="G256" t="str">
        <v>Abril</v>
      </c>
    </row>
    <row r="257">
      <c r="A257" t="str">
        <v>Egreso</v>
      </c>
      <c r="B257">
        <v>46113</v>
      </c>
      <c r="C257" t="str">
        <v>Gasto</v>
      </c>
      <c r="D257" t="str">
        <v>Psicologo</v>
      </c>
      <c r="E257">
        <v>60</v>
      </c>
      <c r="F257" t="str">
        <v>Interbank</v>
      </c>
      <c r="G257" t="str">
        <v>Abril</v>
      </c>
    </row>
    <row r="258">
      <c r="A258" t="str">
        <v>Egreso</v>
      </c>
      <c r="B258">
        <v>46113</v>
      </c>
      <c r="C258" t="str">
        <v>Servicio</v>
      </c>
      <c r="D258" t="str">
        <v>Luz</v>
      </c>
      <c r="E258">
        <v>101.5</v>
      </c>
      <c r="F258" t="str">
        <v>Interbank Amex</v>
      </c>
      <c r="G258" t="str">
        <v>Abril</v>
      </c>
    </row>
    <row r="259">
      <c r="A259" t="str">
        <v>Egreso</v>
      </c>
      <c r="B259">
        <v>46113</v>
      </c>
      <c r="C259" t="str">
        <v>Servicio</v>
      </c>
      <c r="D259" t="str">
        <v>Gas</v>
      </c>
      <c r="E259">
        <v>14.1</v>
      </c>
      <c r="F259" t="str">
        <v>Interbank Amex</v>
      </c>
      <c r="G259" t="str">
        <v>Abril</v>
      </c>
    </row>
    <row r="260">
      <c r="A260" t="str">
        <v>Egreso</v>
      </c>
      <c r="B260">
        <v>46113</v>
      </c>
      <c r="C260" t="str">
        <v>Gasto</v>
      </c>
      <c r="D260" t="str">
        <v>Corte de Cabello</v>
      </c>
      <c r="E260">
        <v>20</v>
      </c>
      <c r="F260" t="str">
        <v>Interbank</v>
      </c>
      <c r="G260" t="str">
        <v>Abril</v>
      </c>
    </row>
    <row r="261">
      <c r="A261" t="str">
        <v>Egreso</v>
      </c>
      <c r="B261">
        <v>46113</v>
      </c>
      <c r="C261" t="str">
        <v>Gasto</v>
      </c>
      <c r="D261" t="str">
        <v>Mayra</v>
      </c>
      <c r="E261">
        <v>20</v>
      </c>
      <c r="F261" t="str">
        <v>Interbank</v>
      </c>
      <c r="G261" t="str">
        <v>Abril</v>
      </c>
    </row>
    <row r="262">
      <c r="A262" t="str">
        <v>Egreso</v>
      </c>
      <c r="B262">
        <v>46113</v>
      </c>
      <c r="C262" t="str">
        <v>Gasto</v>
      </c>
      <c r="D262" t="str">
        <v>Menú</v>
      </c>
      <c r="E262">
        <v>22</v>
      </c>
      <c r="F262" t="str">
        <v>Interbank</v>
      </c>
      <c r="G262" t="str">
        <v>Abril</v>
      </c>
    </row>
    <row r="263">
      <c r="A263" t="str">
        <v>Egreso</v>
      </c>
      <c r="B263">
        <v>46113</v>
      </c>
      <c r="C263" t="str">
        <v>Servicio</v>
      </c>
      <c r="D263" t="str">
        <v>Spotify</v>
      </c>
      <c r="E263">
        <v>11.91</v>
      </c>
      <c r="F263" t="str">
        <v>Interbank Amex</v>
      </c>
      <c r="G263" t="str">
        <v>Abril</v>
      </c>
    </row>
    <row r="264">
      <c r="A264" t="str">
        <v>Egreso</v>
      </c>
      <c r="B264">
        <v>46113</v>
      </c>
      <c r="C264" t="str">
        <v>Gasto</v>
      </c>
      <c r="D264" t="str">
        <v>Taxi</v>
      </c>
      <c r="E264">
        <v>29.5</v>
      </c>
      <c r="F264" t="str">
        <v>Interbank</v>
      </c>
      <c r="G264" t="str">
        <v>Abril</v>
      </c>
    </row>
    <row r="265">
      <c r="A265" t="str">
        <v>Egreso</v>
      </c>
      <c r="B265">
        <v>46113</v>
      </c>
      <c r="C265" t="str">
        <v>Servicio</v>
      </c>
      <c r="D265" t="str">
        <v>Agua + Mantenimiento</v>
      </c>
      <c r="E265">
        <v>117.3</v>
      </c>
      <c r="F265" t="str">
        <v>Interbank</v>
      </c>
      <c r="G265" t="str">
        <v>Abril</v>
      </c>
    </row>
    <row r="266">
      <c r="A266" t="str">
        <v>Egreso</v>
      </c>
      <c r="B266">
        <v>46114</v>
      </c>
      <c r="C266" t="str">
        <v>Gasto</v>
      </c>
      <c r="D266" t="str">
        <v>Pantalon</v>
      </c>
      <c r="E266">
        <v>55.89</v>
      </c>
      <c r="F266" t="str">
        <v>Interbank Amex</v>
      </c>
      <c r="G266" t="str">
        <v>Abril</v>
      </c>
    </row>
    <row r="267">
      <c r="A267" t="str">
        <v>Egreso</v>
      </c>
      <c r="B267">
        <v>46114</v>
      </c>
      <c r="C267" t="str">
        <v>Gasto</v>
      </c>
      <c r="D267" t="str">
        <v>Cumpleaños Adriano</v>
      </c>
      <c r="E267">
        <v>122.6</v>
      </c>
      <c r="F267" t="str">
        <v>Interbank Amex</v>
      </c>
      <c r="G267" t="str">
        <v>Abril</v>
      </c>
    </row>
    <row r="268">
      <c r="A268" t="str">
        <v>Egreso</v>
      </c>
      <c r="B268">
        <v>46114</v>
      </c>
      <c r="C268" t="str">
        <v>Gasto</v>
      </c>
      <c r="D268" t="str">
        <v>Broaster</v>
      </c>
      <c r="E268">
        <v>22</v>
      </c>
      <c r="F268" t="str">
        <v>Interbank Amex</v>
      </c>
      <c r="G268" t="str">
        <v>Abril</v>
      </c>
    </row>
    <row r="269">
      <c r="A269" t="str">
        <v>Egreso</v>
      </c>
      <c r="B269">
        <v>46115</v>
      </c>
      <c r="C269" t="str">
        <v>Gasto</v>
      </c>
      <c r="D269" t="str">
        <v>Viaje Piura</v>
      </c>
      <c r="E269">
        <v>58.8</v>
      </c>
      <c r="F269" t="str">
        <v>Interbank</v>
      </c>
      <c r="G269" t="str">
        <v>Abril</v>
      </c>
    </row>
    <row r="270">
      <c r="A270" t="str">
        <v>Egreso</v>
      </c>
      <c r="B270">
        <v>46115</v>
      </c>
      <c r="C270" t="str">
        <v>Gasto</v>
      </c>
      <c r="D270" t="str">
        <v>Viaje Piura</v>
      </c>
      <c r="E270">
        <v>19.7</v>
      </c>
      <c r="F270" t="str">
        <v>Interbank Amex</v>
      </c>
      <c r="G270" t="str">
        <v>Abril</v>
      </c>
    </row>
    <row r="271">
      <c r="A271" t="str">
        <v>Egreso</v>
      </c>
      <c r="B271">
        <v>46116</v>
      </c>
      <c r="C271" t="str">
        <v>Gasto</v>
      </c>
      <c r="D271" t="str">
        <v>Viaje Piura</v>
      </c>
      <c r="E271">
        <v>88.75</v>
      </c>
      <c r="F271" t="str">
        <v>Interbank Amex</v>
      </c>
      <c r="G271" t="str">
        <v>Abril</v>
      </c>
    </row>
    <row r="272">
      <c r="A272" t="str">
        <v>Egreso</v>
      </c>
      <c r="B272">
        <v>46116</v>
      </c>
      <c r="C272" t="str">
        <v>Gasto</v>
      </c>
      <c r="D272" t="str">
        <v>Viaje Piura</v>
      </c>
      <c r="E272">
        <v>24</v>
      </c>
      <c r="F272" t="str">
        <v>Interbank</v>
      </c>
      <c r="G272" t="str">
        <v>Abril</v>
      </c>
    </row>
    <row r="273">
      <c r="A273" t="str">
        <v>Egreso</v>
      </c>
      <c r="B273">
        <v>46117</v>
      </c>
      <c r="C273" t="str">
        <v>Gasto</v>
      </c>
      <c r="D273" t="str">
        <v>Viaje Piura</v>
      </c>
      <c r="E273">
        <v>104.8</v>
      </c>
      <c r="F273" t="str">
        <v>Interbank</v>
      </c>
      <c r="G273" t="str">
        <v>Abril</v>
      </c>
    </row>
    <row r="274">
      <c r="A274" t="str">
        <v>Egreso</v>
      </c>
      <c r="B274">
        <v>46118</v>
      </c>
      <c r="C274" t="str">
        <v>Gasto</v>
      </c>
      <c r="D274" t="str">
        <v>Viaje Piura</v>
      </c>
      <c r="E274">
        <v>36</v>
      </c>
      <c r="F274" t="str">
        <v>Interbank</v>
      </c>
      <c r="G274" t="str">
        <v>Abril</v>
      </c>
    </row>
    <row r="275">
      <c r="A275" t="str">
        <v>Egreso</v>
      </c>
      <c r="B275">
        <v>46118</v>
      </c>
      <c r="C275" t="str">
        <v>Gasto</v>
      </c>
      <c r="D275" t="str">
        <v>Madre</v>
      </c>
      <c r="E275">
        <v>50</v>
      </c>
      <c r="F275" t="str">
        <v>Interbank</v>
      </c>
      <c r="G275" t="str">
        <v>Abril</v>
      </c>
    </row>
    <row r="276">
      <c r="A276" t="str">
        <v>Egreso</v>
      </c>
      <c r="B276">
        <v>46119</v>
      </c>
      <c r="C276" t="str">
        <v>Gasto</v>
      </c>
      <c r="D276" t="str">
        <v>Viaje Piura</v>
      </c>
      <c r="E276">
        <v>10.4</v>
      </c>
      <c r="F276" t="str">
        <v>Interbank</v>
      </c>
      <c r="G276" t="str">
        <v>Abril</v>
      </c>
    </row>
    <row r="277">
      <c r="A277" t="str">
        <v>Egreso</v>
      </c>
      <c r="B277">
        <v>46120</v>
      </c>
      <c r="C277" t="str">
        <v>Gasto</v>
      </c>
      <c r="D277" t="str">
        <v>Detergente</v>
      </c>
      <c r="E277">
        <v>18.57</v>
      </c>
      <c r="F277" t="str">
        <v>Interbank Amex</v>
      </c>
      <c r="G277" t="str">
        <v>Abril</v>
      </c>
    </row>
    <row r="278">
      <c r="A278" t="str">
        <v>Egreso</v>
      </c>
      <c r="B278">
        <v>46120</v>
      </c>
      <c r="C278" t="str">
        <v>Gasto</v>
      </c>
      <c r="D278" t="str">
        <v>Papel Higiénico</v>
      </c>
      <c r="E278">
        <v>18.57</v>
      </c>
      <c r="F278" t="str">
        <v>Interbank Amex</v>
      </c>
      <c r="G278" t="str">
        <v>Abril</v>
      </c>
    </row>
    <row r="279">
      <c r="A279" t="str">
        <v>Egreso</v>
      </c>
      <c r="B279">
        <v>46120</v>
      </c>
      <c r="C279" t="str">
        <v>Gasto</v>
      </c>
      <c r="D279" t="str">
        <v>Pasta Dental</v>
      </c>
      <c r="E279">
        <v>18.58</v>
      </c>
      <c r="F279" t="str">
        <v>Interbank Amex</v>
      </c>
      <c r="G279" t="str">
        <v>Abril</v>
      </c>
    </row>
    <row r="280">
      <c r="A280" t="str">
        <v>Egreso</v>
      </c>
      <c r="B280">
        <v>46121</v>
      </c>
      <c r="C280" t="str">
        <v>Servicio</v>
      </c>
      <c r="D280" t="str">
        <v>Gaseosa</v>
      </c>
      <c r="E280">
        <v>7.5</v>
      </c>
      <c r="F280" t="str">
        <v>Interbank</v>
      </c>
      <c r="G280" t="str">
        <v>Abril</v>
      </c>
    </row>
    <row r="281">
      <c r="A281" t="str">
        <v>Egreso</v>
      </c>
      <c r="B281">
        <v>46121</v>
      </c>
      <c r="C281" t="str">
        <v>Gasto</v>
      </c>
      <c r="D281" t="str">
        <v>Hotel</v>
      </c>
      <c r="E281">
        <v>32</v>
      </c>
      <c r="F281" t="str">
        <v>Interbank Amex</v>
      </c>
      <c r="G281" t="str">
        <v>Abril</v>
      </c>
    </row>
    <row r="282">
      <c r="A282" t="str">
        <v>Egreso</v>
      </c>
      <c r="B282">
        <v>46121</v>
      </c>
      <c r="C282" t="str">
        <v>Gasto</v>
      </c>
      <c r="D282" t="str">
        <v>Cumpleaños Alondra</v>
      </c>
      <c r="E282">
        <v>69.22</v>
      </c>
      <c r="F282" t="str">
        <v>Interbank Amex</v>
      </c>
      <c r="G282" t="str">
        <v>Abril</v>
      </c>
    </row>
    <row r="283">
      <c r="A283" t="str">
        <v>Egreso</v>
      </c>
      <c r="B283">
        <v>46121</v>
      </c>
      <c r="C283" t="str">
        <v>Gasto</v>
      </c>
      <c r="D283" t="str">
        <v>Broaster</v>
      </c>
      <c r="E283">
        <v>28</v>
      </c>
      <c r="F283" t="str">
        <v>Interbank Amex</v>
      </c>
      <c r="G283" t="str">
        <v>Abril</v>
      </c>
    </row>
    <row r="284">
      <c r="A284" t="str">
        <v>Ingreso</v>
      </c>
      <c r="B284">
        <v>46121</v>
      </c>
      <c r="C284" t="str">
        <v>Otro Ing</v>
      </c>
      <c r="D284" t="str">
        <v>Milagros</v>
      </c>
      <c r="E284">
        <v>100</v>
      </c>
      <c r="F284" t="str">
        <v>Interbank</v>
      </c>
      <c r="G284" t="str">
        <v>Abril</v>
      </c>
    </row>
    <row r="285">
      <c r="A285" t="str">
        <v>Egreso</v>
      </c>
      <c r="B285">
        <v>46122</v>
      </c>
      <c r="C285" t="str">
        <v>Gasto</v>
      </c>
      <c r="D285" t="str">
        <v>Broaster</v>
      </c>
      <c r="E285">
        <v>18.9</v>
      </c>
      <c r="F285" t="str">
        <v>Interbank Amex</v>
      </c>
      <c r="G285" t="str">
        <v>Abril</v>
      </c>
    </row>
    <row r="286">
      <c r="A286" t="str">
        <v>Egreso</v>
      </c>
      <c r="B286">
        <v>46122</v>
      </c>
      <c r="C286" t="str">
        <v>Gasto</v>
      </c>
      <c r="D286" t="str">
        <v>Taxi</v>
      </c>
      <c r="E286">
        <v>22.22</v>
      </c>
      <c r="F286" t="str">
        <v>Interbank Amex</v>
      </c>
      <c r="G286" t="str">
        <v>Abril</v>
      </c>
    </row>
    <row r="287">
      <c r="A287" t="str">
        <v>Egreso</v>
      </c>
      <c r="B287">
        <v>46122</v>
      </c>
      <c r="C287" t="str">
        <v>Gasto</v>
      </c>
      <c r="D287" t="str">
        <v>Taxi</v>
      </c>
      <c r="E287">
        <v>10</v>
      </c>
      <c r="F287" t="str">
        <v>Interbank</v>
      </c>
      <c r="G287" t="str">
        <v>Abril</v>
      </c>
    </row>
    <row r="288">
      <c r="A288" t="str">
        <v>Egreso</v>
      </c>
      <c r="B288">
        <v>46123</v>
      </c>
      <c r="C288" t="str">
        <v>Gasto</v>
      </c>
      <c r="D288" t="str">
        <v>Hotel</v>
      </c>
      <c r="E288">
        <v>42</v>
      </c>
      <c r="F288" t="str">
        <v>Interbank Amex</v>
      </c>
      <c r="G288" t="str">
        <v>Abril</v>
      </c>
    </row>
    <row r="289">
      <c r="A289" t="str">
        <v>Egreso</v>
      </c>
      <c r="B289">
        <v>46126</v>
      </c>
      <c r="C289" t="str">
        <v>Servicio</v>
      </c>
      <c r="D289" t="str">
        <v>iCloud</v>
      </c>
      <c r="E289">
        <v>4.04</v>
      </c>
      <c r="F289" t="str">
        <v>Interbank</v>
      </c>
      <c r="G289" t="str">
        <v>Abril</v>
      </c>
    </row>
    <row r="290">
      <c r="A290" t="str">
        <v>Egreso</v>
      </c>
      <c r="B290">
        <v>46127</v>
      </c>
      <c r="C290" t="str">
        <v>Servicio</v>
      </c>
      <c r="D290" t="str">
        <v>Telefonia Movil</v>
      </c>
      <c r="E290">
        <v>39.9</v>
      </c>
      <c r="F290" t="str">
        <v>Interbank Amex</v>
      </c>
      <c r="G290" t="str">
        <v>Abril</v>
      </c>
    </row>
    <row r="291">
      <c r="A291" t="str">
        <v>Ingreso</v>
      </c>
      <c r="B291">
        <v>46127</v>
      </c>
      <c r="C291" t="str">
        <v>Otro Ing</v>
      </c>
      <c r="D291" t="str">
        <v>Yape Crédito</v>
      </c>
      <c r="E291">
        <v>200</v>
      </c>
      <c r="F291" t="str">
        <v>BCP</v>
      </c>
      <c r="G291" t="str">
        <v>Abril</v>
      </c>
    </row>
    <row r="292">
      <c r="A292" t="str">
        <v>Egreso</v>
      </c>
      <c r="B292">
        <v>46127</v>
      </c>
      <c r="C292" t="str">
        <v>Gasto</v>
      </c>
      <c r="D292" t="str">
        <v>Madre</v>
      </c>
      <c r="E292">
        <v>200</v>
      </c>
      <c r="F292" t="str">
        <v>BCP</v>
      </c>
      <c r="G292" t="str">
        <v>Abril</v>
      </c>
    </row>
    <row r="293">
      <c r="A293" t="str">
        <v>Egreso</v>
      </c>
      <c r="B293">
        <v>46128</v>
      </c>
      <c r="C293" t="str">
        <v>Gasto</v>
      </c>
      <c r="D293" t="str">
        <v>Madre</v>
      </c>
      <c r="E293">
        <v>5</v>
      </c>
      <c r="F293" t="str">
        <v>Interbank</v>
      </c>
      <c r="G293" t="str">
        <v>Abril</v>
      </c>
    </row>
    <row r="294">
      <c r="A294" t="str">
        <v>Ingreso</v>
      </c>
      <c r="B294">
        <v>46129</v>
      </c>
      <c r="C294" t="str">
        <v>Otro Ing</v>
      </c>
      <c r="D294" t="str">
        <v>Padre</v>
      </c>
      <c r="E294">
        <v>60</v>
      </c>
      <c r="F294" t="str">
        <v>BCP</v>
      </c>
      <c r="G294" t="str">
        <v>Abril</v>
      </c>
    </row>
    <row r="295">
      <c r="A295" t="str">
        <v>Egreso</v>
      </c>
      <c r="B295">
        <v>46129</v>
      </c>
      <c r="C295" t="str">
        <v>Gasto</v>
      </c>
      <c r="D295" t="str">
        <v>Futbol</v>
      </c>
      <c r="E295">
        <v>16.7</v>
      </c>
      <c r="F295" t="str">
        <v>BCP</v>
      </c>
      <c r="G295" t="str">
        <v>Abril</v>
      </c>
    </row>
    <row r="296">
      <c r="A296" t="str">
        <v>Egreso</v>
      </c>
      <c r="B296">
        <v>46129</v>
      </c>
      <c r="C296" t="str">
        <v>Gasto</v>
      </c>
      <c r="D296" t="str">
        <v>Jacko</v>
      </c>
      <c r="E296">
        <v>43.3</v>
      </c>
      <c r="F296" t="str">
        <v>BCP</v>
      </c>
      <c r="G296" t="str">
        <v>Abril</v>
      </c>
    </row>
    <row r="297">
      <c r="A297" t="str">
        <v>Egreso</v>
      </c>
      <c r="B297">
        <v>46130</v>
      </c>
      <c r="C297" t="str">
        <v>Gasto</v>
      </c>
      <c r="D297" t="str">
        <v>Cumpleaños Beu</v>
      </c>
      <c r="E297">
        <v>40.48</v>
      </c>
      <c r="F297" t="str">
        <v>Interbank</v>
      </c>
      <c r="G297" t="str">
        <v>Abril</v>
      </c>
    </row>
    <row r="298">
      <c r="A298" t="str">
        <v>Egreso</v>
      </c>
      <c r="B298">
        <v>46130</v>
      </c>
      <c r="C298" t="str">
        <v>Gasto</v>
      </c>
      <c r="D298" t="str">
        <v>Hotel</v>
      </c>
      <c r="E298">
        <v>40</v>
      </c>
      <c r="F298" t="str">
        <v>Interbank Amex</v>
      </c>
      <c r="G298" t="str">
        <v>Abril</v>
      </c>
    </row>
    <row r="299">
      <c r="A299" t="str">
        <v>Egreso</v>
      </c>
      <c r="B299">
        <v>46130</v>
      </c>
      <c r="C299" t="str">
        <v>Gasto</v>
      </c>
      <c r="D299" t="str">
        <v>Hamburguesa</v>
      </c>
      <c r="E299">
        <v>12</v>
      </c>
      <c r="F299" t="str">
        <v>Interbank Amex</v>
      </c>
      <c r="G299" t="str">
        <v>Abril</v>
      </c>
    </row>
    <row r="300">
      <c r="A300" t="str">
        <v>Egreso</v>
      </c>
      <c r="B300">
        <v>46131</v>
      </c>
      <c r="C300" t="str">
        <v>Servicio</v>
      </c>
      <c r="D300" t="str">
        <v>Gaseosa</v>
      </c>
      <c r="E300">
        <v>3.96</v>
      </c>
      <c r="F300" t="str">
        <v>Interbank Amex</v>
      </c>
      <c r="G300" t="str">
        <v>Abril</v>
      </c>
    </row>
    <row r="301">
      <c r="A301" t="str">
        <v>Egreso</v>
      </c>
      <c r="B301">
        <v>46132</v>
      </c>
      <c r="C301" t="str">
        <v>Gasto</v>
      </c>
      <c r="D301" t="str">
        <v>Broaster</v>
      </c>
      <c r="E301">
        <v>12</v>
      </c>
      <c r="F301" t="str">
        <v>Interbank</v>
      </c>
      <c r="G301" t="str">
        <v>Abril</v>
      </c>
    </row>
    <row r="302">
      <c r="A302" t="str">
        <v>Egreso</v>
      </c>
      <c r="B302">
        <v>46136</v>
      </c>
      <c r="C302" t="str">
        <v>Gasto</v>
      </c>
      <c r="D302" t="str">
        <v>Cine</v>
      </c>
      <c r="E302">
        <v>49.06</v>
      </c>
      <c r="F302" t="str">
        <v>Interbank Amex</v>
      </c>
      <c r="G302" t="str">
        <v>Abril</v>
      </c>
    </row>
    <row r="303">
      <c r="A303" t="str">
        <v>Egreso</v>
      </c>
      <c r="B303">
        <v>46137</v>
      </c>
      <c r="C303" t="str">
        <v>Gasto</v>
      </c>
      <c r="D303" t="str">
        <v>Desvagramen</v>
      </c>
      <c r="E303">
        <v>32.22</v>
      </c>
      <c r="F303" t="str">
        <v>Interbank Amex</v>
      </c>
      <c r="G303" t="str">
        <v>Abril</v>
      </c>
    </row>
    <row r="304">
      <c r="A304" t="str">
        <v>Egreso</v>
      </c>
      <c r="B304">
        <v>46137</v>
      </c>
      <c r="C304" t="str">
        <v>Gasto</v>
      </c>
      <c r="D304" t="str">
        <v>Taxi</v>
      </c>
      <c r="E304">
        <v>9.3</v>
      </c>
      <c r="F304" t="str">
        <v>Interbank</v>
      </c>
      <c r="G304" t="str">
        <v>Abril</v>
      </c>
    </row>
    <row r="305">
      <c r="A305" t="str">
        <v>Egreso</v>
      </c>
      <c r="B305">
        <v>46138</v>
      </c>
      <c r="C305" t="str">
        <v>Gasto</v>
      </c>
      <c r="D305" t="str">
        <v>Futbol</v>
      </c>
      <c r="E305">
        <v>21</v>
      </c>
      <c r="F305" t="str">
        <v>Interbank</v>
      </c>
      <c r="G305" t="str">
        <v>Abril</v>
      </c>
    </row>
    <row r="306">
      <c r="A306" t="str">
        <v>Ingreso</v>
      </c>
      <c r="B306">
        <v>46143</v>
      </c>
      <c r="C306" t="str">
        <v>Otro Ing</v>
      </c>
      <c r="D306" t="str">
        <v>Bonificación Ahorro</v>
      </c>
      <c r="E306">
        <v>32.1</v>
      </c>
      <c r="F306" t="str">
        <v>Interbank</v>
      </c>
      <c r="G306" t="str">
        <v>Mayo</v>
      </c>
    </row>
    <row r="307">
      <c r="A307" t="str">
        <v>Ingreso</v>
      </c>
      <c r="B307">
        <v>46143</v>
      </c>
      <c r="C307" t="str">
        <v>Sueldo</v>
      </c>
      <c r="D307" t="str">
        <v>Sueldo</v>
      </c>
      <c r="E307">
        <v>2259.63</v>
      </c>
      <c r="F307" t="str">
        <v>Interbank</v>
      </c>
      <c r="G307" t="str">
        <v>Mayo</v>
      </c>
    </row>
    <row r="308">
      <c r="A308" t="str">
        <v>Egreso</v>
      </c>
      <c r="B308">
        <v>46143</v>
      </c>
      <c r="C308" t="str">
        <v>Deuda</v>
      </c>
      <c r="D308" t="str">
        <v>Pago de Tarjeta Interbank Amex</v>
      </c>
      <c r="E308">
        <v>785</v>
      </c>
      <c r="F308" t="str">
        <v>Interbank</v>
      </c>
      <c r="G308" t="str">
        <v>Mayo</v>
      </c>
    </row>
    <row r="309">
      <c r="A309" t="str">
        <v>Egreso</v>
      </c>
      <c r="B309">
        <v>46143</v>
      </c>
      <c r="C309" t="str">
        <v>Deuda</v>
      </c>
      <c r="D309" t="str">
        <v>Yape Crédito</v>
      </c>
      <c r="E309">
        <v>206.33</v>
      </c>
      <c r="F309" t="str">
        <v>Interbank</v>
      </c>
      <c r="G309" t="str">
        <v>Mayo</v>
      </c>
    </row>
    <row r="310">
      <c r="A310" t="str">
        <v>Egreso</v>
      </c>
      <c r="B310">
        <v>46143</v>
      </c>
      <c r="C310" t="str">
        <v>Gasto</v>
      </c>
      <c r="D310" t="str">
        <v>Aaron</v>
      </c>
      <c r="E310">
        <v>92.42</v>
      </c>
      <c r="F310" t="str">
        <v>Interbank</v>
      </c>
      <c r="G310" t="str">
        <v>Mayo</v>
      </c>
    </row>
    <row r="311">
      <c r="A311" t="str">
        <v>Egreso</v>
      </c>
      <c r="B311">
        <v>46143</v>
      </c>
      <c r="C311" t="str">
        <v>Gasto</v>
      </c>
      <c r="D311" t="str">
        <v>iPhone 16</v>
      </c>
      <c r="E311">
        <v>245.75</v>
      </c>
      <c r="F311" t="str">
        <v>Interbank</v>
      </c>
      <c r="G311" t="str">
        <v>Mayo</v>
      </c>
    </row>
    <row r="312">
      <c r="A312" t="str">
        <v>Egreso</v>
      </c>
      <c r="B312">
        <v>46143</v>
      </c>
      <c r="C312" t="str">
        <v>Gasto</v>
      </c>
      <c r="D312" t="str">
        <v>Aaron</v>
      </c>
      <c r="E312">
        <v>170</v>
      </c>
      <c r="F312" t="str">
        <v>Interbank</v>
      </c>
      <c r="G312" t="str">
        <v>Mayo</v>
      </c>
    </row>
    <row r="313">
      <c r="A313" t="str">
        <v>Ingreso</v>
      </c>
      <c r="B313">
        <v>46143</v>
      </c>
      <c r="C313" t="str">
        <v>Tarjeta</v>
      </c>
      <c r="D313" t="str">
        <v>Linea Tarjeta</v>
      </c>
      <c r="E313">
        <v>816.3</v>
      </c>
      <c r="F313" t="str">
        <v>Interbank Amex</v>
      </c>
      <c r="G313" t="str">
        <v>Mayo</v>
      </c>
    </row>
    <row r="314">
      <c r="A314" t="str">
        <v>Egreso</v>
      </c>
      <c r="B314">
        <v>46143</v>
      </c>
      <c r="C314" t="str">
        <v>Gasto</v>
      </c>
      <c r="D314" t="str">
        <v>Jacko</v>
      </c>
      <c r="E314">
        <v>100</v>
      </c>
      <c r="F314" t="str">
        <v>Interbank</v>
      </c>
      <c r="G314" t="str">
        <v>Mayo</v>
      </c>
    </row>
    <row r="315">
      <c r="A315" t="str">
        <v>Egreso</v>
      </c>
      <c r="B315">
        <v>46143</v>
      </c>
      <c r="C315" t="str">
        <v>Gasto</v>
      </c>
      <c r="D315" t="str">
        <v>Broaster</v>
      </c>
      <c r="E315">
        <v>11</v>
      </c>
      <c r="F315" t="str">
        <v>Interbank</v>
      </c>
      <c r="G315" t="str">
        <v>Mayo</v>
      </c>
    </row>
    <row r="316">
      <c r="A316" t="str">
        <v>Egreso</v>
      </c>
      <c r="B316">
        <v>46143</v>
      </c>
      <c r="C316" t="str">
        <v>Gasto</v>
      </c>
      <c r="D316" t="str">
        <v>Dia del Trabajador</v>
      </c>
      <c r="E316">
        <v>80</v>
      </c>
      <c r="F316" t="str">
        <v>Interbank</v>
      </c>
      <c r="G316" t="str">
        <v>Mayo</v>
      </c>
    </row>
    <row r="317">
      <c r="A317" t="str">
        <v>Egreso</v>
      </c>
      <c r="B317">
        <v>46143</v>
      </c>
      <c r="C317" t="str">
        <v>Gasto</v>
      </c>
      <c r="D317" t="str">
        <v>Detergente</v>
      </c>
      <c r="E317">
        <v>0.73</v>
      </c>
      <c r="F317" t="str">
        <v>Interbank</v>
      </c>
      <c r="G317" t="str">
        <v>Mayo</v>
      </c>
    </row>
    <row r="318">
      <c r="A318" t="str">
        <v>Egreso</v>
      </c>
      <c r="B318">
        <v>46143</v>
      </c>
      <c r="C318" t="str">
        <v>Gasto</v>
      </c>
      <c r="D318" t="str">
        <v>Papel Higiénico</v>
      </c>
      <c r="E318">
        <v>0.73</v>
      </c>
      <c r="F318" t="str">
        <v>Interbank</v>
      </c>
      <c r="G318" t="str">
        <v>Mayo</v>
      </c>
    </row>
    <row r="319">
      <c r="A319" t="str">
        <v>Egreso</v>
      </c>
      <c r="B319">
        <v>46143</v>
      </c>
      <c r="C319" t="str">
        <v>Gasto</v>
      </c>
      <c r="D319" t="str">
        <v>Pasta Dental</v>
      </c>
      <c r="E319">
        <v>0.74</v>
      </c>
      <c r="F319" t="str">
        <v>Interbank</v>
      </c>
      <c r="G319" t="str">
        <v>Mayo</v>
      </c>
    </row>
    <row r="320">
      <c r="A320" t="str">
        <v>Egreso</v>
      </c>
      <c r="B320">
        <v>46143</v>
      </c>
      <c r="C320" t="str">
        <v>Servicio</v>
      </c>
      <c r="D320" t="str">
        <v>Internet</v>
      </c>
      <c r="E320">
        <v>79</v>
      </c>
      <c r="F320" t="str">
        <v>Interbank Amex</v>
      </c>
      <c r="G320" t="str">
        <v>Mayo</v>
      </c>
    </row>
    <row r="321">
      <c r="A321" t="str">
        <v>Egreso</v>
      </c>
      <c r="B321">
        <v>46143</v>
      </c>
      <c r="C321" t="str">
        <v>Servicio</v>
      </c>
      <c r="D321" t="str">
        <v>Luz</v>
      </c>
      <c r="E321">
        <v>84.5</v>
      </c>
      <c r="F321" t="str">
        <v>Interbank Amex</v>
      </c>
      <c r="G321" t="str">
        <v>Mayo</v>
      </c>
    </row>
    <row r="322">
      <c r="A322" t="str">
        <v>Egreso</v>
      </c>
      <c r="B322">
        <v>46143</v>
      </c>
      <c r="C322" t="str">
        <v>Servicio</v>
      </c>
      <c r="D322" t="str">
        <v>Gas</v>
      </c>
      <c r="E322">
        <v>45</v>
      </c>
      <c r="F322" t="str">
        <v>Interbank Amex</v>
      </c>
      <c r="G322" t="str">
        <v>Mayo</v>
      </c>
    </row>
    <row r="323">
      <c r="A323" t="str">
        <v>Egreso</v>
      </c>
      <c r="B323">
        <v>46143</v>
      </c>
      <c r="C323" t="str">
        <v>Gasto</v>
      </c>
      <c r="D323" t="str">
        <v>Corte de Cabello</v>
      </c>
      <c r="E323">
        <v>20</v>
      </c>
      <c r="F323" t="str">
        <v>Interbank</v>
      </c>
      <c r="G323" t="str">
        <v>Mayo</v>
      </c>
    </row>
    <row r="324">
      <c r="A324" t="str">
        <v>Egreso</v>
      </c>
      <c r="B324">
        <v>46143</v>
      </c>
      <c r="C324" t="str">
        <v>Gasto</v>
      </c>
      <c r="D324" t="str">
        <v>Padre</v>
      </c>
      <c r="E324">
        <v>60</v>
      </c>
      <c r="F324" t="str">
        <v>Interbank</v>
      </c>
      <c r="G324" t="str">
        <v>Mayo</v>
      </c>
    </row>
    <row r="325">
      <c r="A325" t="str">
        <v>Egreso</v>
      </c>
      <c r="B325">
        <v>46143</v>
      </c>
      <c r="C325" t="str">
        <v>Gasto</v>
      </c>
      <c r="D325" t="str">
        <v>Taxi</v>
      </c>
      <c r="E325">
        <v>14</v>
      </c>
      <c r="F325" t="str">
        <v>Interbank</v>
      </c>
      <c r="G325" t="str">
        <v>Mayo</v>
      </c>
    </row>
    <row r="326">
      <c r="A326" t="str">
        <v>Egreso</v>
      </c>
      <c r="B326">
        <v>46143</v>
      </c>
      <c r="C326" t="str">
        <v>Gasto</v>
      </c>
      <c r="D326" t="str">
        <v>Café</v>
      </c>
      <c r="E326">
        <v>50</v>
      </c>
      <c r="F326" t="str">
        <v>Interbank Amex</v>
      </c>
      <c r="G326" t="str">
        <v>Mayo</v>
      </c>
    </row>
    <row r="327">
      <c r="A327" t="str">
        <v>Egreso</v>
      </c>
      <c r="B327">
        <v>46143</v>
      </c>
      <c r="C327" t="str">
        <v>Gasto</v>
      </c>
      <c r="D327" t="str">
        <v>Broaster</v>
      </c>
      <c r="E327">
        <v>21</v>
      </c>
      <c r="F327" t="str">
        <v>Interbank</v>
      </c>
      <c r="G327" t="str">
        <v>Mayo</v>
      </c>
    </row>
    <row r="328">
      <c r="A328" t="str">
        <v>Egreso</v>
      </c>
      <c r="B328">
        <v>46143</v>
      </c>
      <c r="C328" t="str">
        <v>Gasto</v>
      </c>
      <c r="D328" t="str">
        <v>Dia del Trabajador</v>
      </c>
      <c r="E328">
        <v>107.3</v>
      </c>
      <c r="F328" t="str">
        <v>Interbank</v>
      </c>
      <c r="G328" t="str">
        <v>Mayo</v>
      </c>
    </row>
    <row r="329">
      <c r="A329" t="str">
        <v>Egreso</v>
      </c>
      <c r="B329">
        <v>46143</v>
      </c>
      <c r="C329" t="str">
        <v>Servicio</v>
      </c>
      <c r="D329" t="str">
        <v>Spotify</v>
      </c>
      <c r="E329">
        <v>11.9</v>
      </c>
      <c r="F329" t="str">
        <v>Interbank Amex</v>
      </c>
      <c r="G329" t="str">
        <v>Mayo</v>
      </c>
    </row>
    <row r="330">
      <c r="A330" t="str">
        <v>Egreso</v>
      </c>
      <c r="B330">
        <v>46143</v>
      </c>
      <c r="C330" t="str">
        <v>Servicio</v>
      </c>
      <c r="D330" t="str">
        <v>Agua + Mantenimiento</v>
      </c>
      <c r="E330">
        <v>162</v>
      </c>
      <c r="F330" t="str">
        <v>Interbank</v>
      </c>
      <c r="G330" t="str">
        <v>Mayo</v>
      </c>
    </row>
    <row r="331">
      <c r="A331" t="str">
        <v>Egreso</v>
      </c>
      <c r="B331">
        <v>46144</v>
      </c>
      <c r="C331" t="str">
        <v>Gasto</v>
      </c>
      <c r="D331" t="str">
        <v>Broaster</v>
      </c>
      <c r="E331">
        <v>14.5</v>
      </c>
      <c r="F331" t="str">
        <v>Interbank</v>
      </c>
      <c r="G331" t="str">
        <v>Mayo</v>
      </c>
    </row>
    <row r="332">
      <c r="A332" t="str">
        <v>Egreso</v>
      </c>
      <c r="B332">
        <v>46144</v>
      </c>
      <c r="C332" t="str">
        <v>Servicio</v>
      </c>
      <c r="D332" t="str">
        <v>Gaseosa</v>
      </c>
      <c r="E332">
        <v>3</v>
      </c>
      <c r="F332" t="str">
        <v>Interbank</v>
      </c>
      <c r="G332" t="str">
        <v>Mayo</v>
      </c>
    </row>
    <row r="333">
      <c r="A333" t="str">
        <v>Egreso</v>
      </c>
      <c r="B333">
        <v>46145</v>
      </c>
      <c r="C333" t="str">
        <v>Gasto</v>
      </c>
      <c r="D333" t="str">
        <v>Pollo a la Brasa</v>
      </c>
      <c r="E333">
        <v>14.61</v>
      </c>
      <c r="F333" t="str">
        <v>Interbank</v>
      </c>
      <c r="G333" t="str">
        <v>Mayo</v>
      </c>
    </row>
    <row r="334">
      <c r="A334" t="str">
        <v>Egreso</v>
      </c>
      <c r="B334">
        <v>46146</v>
      </c>
      <c r="C334" t="str">
        <v>Gasto</v>
      </c>
      <c r="D334" t="str">
        <v>IA</v>
      </c>
      <c r="E334">
        <v>20</v>
      </c>
      <c r="F334" t="str">
        <v>Interbank</v>
      </c>
      <c r="G334" t="str">
        <v>Mayo</v>
      </c>
    </row>
    <row r="335">
      <c r="A335" t="str">
        <v>Egreso</v>
      </c>
      <c r="B335">
        <v>46146</v>
      </c>
      <c r="C335" t="str">
        <v>Gasto</v>
      </c>
      <c r="D335" t="str">
        <v>Dia de la Madre</v>
      </c>
      <c r="E335">
        <v>92.36</v>
      </c>
      <c r="F335" t="str">
        <v>Interbank Amex</v>
      </c>
      <c r="G335" t="str">
        <v>Mayo</v>
      </c>
    </row>
    <row r="336">
      <c r="A336" t="str">
        <v>Egreso</v>
      </c>
      <c r="B336">
        <v>46146</v>
      </c>
      <c r="C336" t="str">
        <v>Gasto</v>
      </c>
      <c r="D336" t="str">
        <v>Broaster</v>
      </c>
      <c r="E336">
        <v>15</v>
      </c>
      <c r="F336" t="str">
        <v>Interbank</v>
      </c>
      <c r="G336" t="str">
        <v>Mayo</v>
      </c>
    </row>
    <row r="337">
      <c r="A337" t="str">
        <v>Egreso</v>
      </c>
      <c r="B337">
        <v>46147</v>
      </c>
      <c r="C337" t="str">
        <v>Servicio</v>
      </c>
      <c r="D337" t="str">
        <v>Gaseosa</v>
      </c>
      <c r="E337">
        <v>2</v>
      </c>
      <c r="F337" t="str">
        <v>Interbank Amex</v>
      </c>
      <c r="G337" t="str">
        <v>Mayo</v>
      </c>
    </row>
    <row r="338">
      <c r="A338" t="str">
        <v>Egreso</v>
      </c>
      <c r="B338">
        <v>46147</v>
      </c>
      <c r="C338" t="str">
        <v>Gasto</v>
      </c>
      <c r="D338" t="str">
        <v>Broaster</v>
      </c>
      <c r="E338">
        <v>9</v>
      </c>
      <c r="F338" t="str">
        <v>Interbank</v>
      </c>
      <c r="G338" t="str">
        <v>Mayo</v>
      </c>
    </row>
    <row r="339">
      <c r="A339" t="str">
        <v>Egreso</v>
      </c>
      <c r="B339">
        <v>46148</v>
      </c>
      <c r="C339" t="str">
        <v>Gasto</v>
      </c>
      <c r="D339" t="str">
        <v>Detergente</v>
      </c>
      <c r="E339">
        <v>21.13</v>
      </c>
      <c r="F339" t="str">
        <v>Interbank Amex</v>
      </c>
      <c r="G339" t="str">
        <v>Mayo</v>
      </c>
    </row>
    <row r="340">
      <c r="A340" t="str">
        <v>Egreso</v>
      </c>
      <c r="B340">
        <v>46148</v>
      </c>
      <c r="C340" t="str">
        <v>Gasto</v>
      </c>
      <c r="D340" t="str">
        <v>Papel Higiénico</v>
      </c>
      <c r="E340">
        <v>21.13</v>
      </c>
      <c r="F340" t="str">
        <v>Interbank Amex</v>
      </c>
      <c r="G340" t="str">
        <v>Mayo</v>
      </c>
    </row>
    <row r="341">
      <c r="A341" t="str">
        <v>Egreso</v>
      </c>
      <c r="B341">
        <v>46148</v>
      </c>
      <c r="C341" t="str">
        <v>Gasto</v>
      </c>
      <c r="D341" t="str">
        <v>Pasta Dental</v>
      </c>
      <c r="E341">
        <v>21.14</v>
      </c>
      <c r="F341" t="str">
        <v>Interbank Amex</v>
      </c>
      <c r="G341" t="str">
        <v>Mayo</v>
      </c>
    </row>
    <row r="342">
      <c r="A342" t="str">
        <v>Egreso</v>
      </c>
      <c r="B342">
        <v>46148</v>
      </c>
      <c r="C342" t="str">
        <v>Gasto</v>
      </c>
      <c r="D342" t="str">
        <v>Taxi</v>
      </c>
      <c r="E342">
        <v>18</v>
      </c>
      <c r="F342" t="str">
        <v>Interbank</v>
      </c>
      <c r="G342" t="str">
        <v>Mayo</v>
      </c>
    </row>
    <row r="343">
      <c r="A343" t="str">
        <v>Egreso</v>
      </c>
      <c r="B343">
        <v>46149</v>
      </c>
      <c r="C343" t="str">
        <v>Gasto</v>
      </c>
      <c r="D343" t="str">
        <v>Broaster</v>
      </c>
      <c r="E343">
        <v>11.8</v>
      </c>
      <c r="F343" t="str">
        <v>Interbank</v>
      </c>
      <c r="G343" t="str">
        <v>Mayo</v>
      </c>
    </row>
    <row r="344">
      <c r="A344" t="str">
        <v>Egreso</v>
      </c>
      <c r="B344">
        <v>46149</v>
      </c>
      <c r="C344" t="str">
        <v>Gasto</v>
      </c>
      <c r="D344" t="str">
        <v>Condones</v>
      </c>
      <c r="E344">
        <v>4.9</v>
      </c>
      <c r="F344" t="str">
        <v>Interbank Amex</v>
      </c>
      <c r="G344" t="str">
        <v>Mayo</v>
      </c>
    </row>
    <row r="345">
      <c r="A345" t="str">
        <v>Egreso</v>
      </c>
      <c r="B345">
        <v>46150</v>
      </c>
      <c r="C345" t="str">
        <v>Gasto</v>
      </c>
      <c r="D345" t="str">
        <v>Broaster</v>
      </c>
      <c r="E345">
        <v>13</v>
      </c>
      <c r="F345" t="str">
        <v>Interbank</v>
      </c>
      <c r="G345" t="str">
        <v>Mayo</v>
      </c>
    </row>
    <row r="346">
      <c r="A346" t="str">
        <v>Egreso</v>
      </c>
      <c r="B346">
        <v>46151</v>
      </c>
      <c r="C346" t="str">
        <v>Gasto</v>
      </c>
      <c r="D346" t="str">
        <v>Taxi</v>
      </c>
      <c r="E346">
        <v>14.5</v>
      </c>
      <c r="F346" t="str">
        <v>Interbank</v>
      </c>
      <c r="G346" t="str">
        <v>Mayo</v>
      </c>
    </row>
    <row r="347">
      <c r="A347" t="str">
        <v>Egreso</v>
      </c>
      <c r="B347">
        <v>46151</v>
      </c>
      <c r="C347" t="str">
        <v>Gasto</v>
      </c>
      <c r="D347" t="str">
        <v>Dia de la Madre</v>
      </c>
      <c r="E347">
        <v>35</v>
      </c>
      <c r="F347" t="str">
        <v>Interbank</v>
      </c>
      <c r="G347" t="str">
        <v>Mayo</v>
      </c>
    </row>
    <row r="348">
      <c r="A348" t="str">
        <v>Egreso</v>
      </c>
      <c r="B348">
        <v>46152</v>
      </c>
      <c r="C348" t="str">
        <v>Gasto</v>
      </c>
      <c r="D348" t="str">
        <v>Dia de la Madre</v>
      </c>
      <c r="E348">
        <v>64.7</v>
      </c>
      <c r="F348" t="str">
        <v>Interbank Amex</v>
      </c>
      <c r="G348" t="str">
        <v>Mayo</v>
      </c>
    </row>
    <row r="349">
      <c r="A349" t="str">
        <v>Egreso</v>
      </c>
      <c r="B349">
        <v>46154</v>
      </c>
      <c r="C349" t="str">
        <v>Gasto</v>
      </c>
      <c r="D349" t="str">
        <v>Entrada Estadio</v>
      </c>
      <c r="E349">
        <v>50</v>
      </c>
      <c r="F349" t="str">
        <v>Interbank Amex</v>
      </c>
      <c r="G349" t="str">
        <v>Mayo</v>
      </c>
    </row>
    <row r="350">
      <c r="A350" t="str">
        <v>Egreso</v>
      </c>
      <c r="B350">
        <v>46154</v>
      </c>
      <c r="C350" t="str">
        <v>Gasto</v>
      </c>
      <c r="D350" t="str">
        <v>Dulce de Leche</v>
      </c>
      <c r="E350">
        <v>4.99</v>
      </c>
      <c r="F350" t="str">
        <v>Interbank Amex</v>
      </c>
      <c r="G350" t="str">
        <v>Mayo</v>
      </c>
    </row>
    <row r="351">
      <c r="A351" t="str">
        <v>Egreso</v>
      </c>
      <c r="B351">
        <v>46154</v>
      </c>
      <c r="C351" t="str">
        <v>Gasto</v>
      </c>
      <c r="D351" t="str">
        <v>Bus</v>
      </c>
      <c r="E351">
        <v>2.5</v>
      </c>
      <c r="F351" t="str">
        <v>Interbank</v>
      </c>
      <c r="G351" t="str">
        <v>Mayo</v>
      </c>
    </row>
    <row r="352">
      <c r="A352" t="str">
        <v>Egreso</v>
      </c>
      <c r="B352">
        <v>46154</v>
      </c>
      <c r="C352" t="str">
        <v>Gasto</v>
      </c>
      <c r="D352" t="str">
        <v>Futbol</v>
      </c>
      <c r="E352">
        <v>12.5</v>
      </c>
      <c r="F352" t="str">
        <v>Interbank</v>
      </c>
      <c r="G352" t="str">
        <v>Mayo</v>
      </c>
    </row>
    <row r="353">
      <c r="A353" t="str">
        <v>Egreso</v>
      </c>
      <c r="B353">
        <v>46154</v>
      </c>
      <c r="C353" t="str">
        <v>Gasto</v>
      </c>
      <c r="D353" t="str">
        <v>Broaster</v>
      </c>
      <c r="E353">
        <v>10</v>
      </c>
      <c r="F353" t="str">
        <v>Interbank</v>
      </c>
      <c r="G353" t="str">
        <v>Mayo</v>
      </c>
    </row>
    <row r="354">
      <c r="A354" t="str">
        <v>Egreso</v>
      </c>
      <c r="B354">
        <v>46154</v>
      </c>
      <c r="C354" t="str">
        <v>Gasto</v>
      </c>
      <c r="D354" t="str">
        <v>Dulce de Leche</v>
      </c>
      <c r="E354">
        <v>10</v>
      </c>
      <c r="F354" t="str">
        <v>Interbank Amex</v>
      </c>
      <c r="G354" t="str">
        <v>Mayo</v>
      </c>
    </row>
    <row r="355">
      <c r="A355" t="str">
        <v>Ingreso</v>
      </c>
      <c r="B355">
        <v>46155</v>
      </c>
      <c r="C355" t="str">
        <v>Sueldo</v>
      </c>
      <c r="D355" t="str">
        <v>CTS</v>
      </c>
      <c r="E355">
        <v>1469.67</v>
      </c>
      <c r="F355" t="str">
        <v>Interbank</v>
      </c>
      <c r="G355" t="str">
        <v>Mayo</v>
      </c>
    </row>
    <row r="356">
      <c r="A356" t="str">
        <v>Egreso</v>
      </c>
      <c r="B356">
        <v>46155</v>
      </c>
      <c r="C356" t="str">
        <v>Otro Egre</v>
      </c>
      <c r="D356" t="str">
        <v>Titulación</v>
      </c>
      <c r="E356">
        <v>700</v>
      </c>
      <c r="F356" t="str">
        <v>Interbank</v>
      </c>
      <c r="G356" t="str">
        <v>Mayo</v>
      </c>
    </row>
    <row r="357">
      <c r="A357" t="str">
        <v>Egreso</v>
      </c>
      <c r="B357">
        <v>46156</v>
      </c>
      <c r="C357" t="str">
        <v>Gasto</v>
      </c>
      <c r="D357" t="str">
        <v>Polo</v>
      </c>
      <c r="E357">
        <v>59.99</v>
      </c>
      <c r="F357" t="str">
        <v>Interbank Amex</v>
      </c>
      <c r="G357" t="str">
        <v>Mayo</v>
      </c>
    </row>
    <row r="358">
      <c r="A358" t="str">
        <v>Egreso</v>
      </c>
      <c r="B358">
        <v>46156</v>
      </c>
      <c r="C358" t="str">
        <v>Gasto</v>
      </c>
      <c r="D358" t="str">
        <v>Broaster</v>
      </c>
      <c r="E358">
        <v>11.5</v>
      </c>
      <c r="F358" t="str">
        <v>Interbank</v>
      </c>
      <c r="G358" t="str">
        <v>Mayo</v>
      </c>
    </row>
    <row r="359">
      <c r="A359" t="str">
        <v>Egreso</v>
      </c>
      <c r="B359">
        <v>46156</v>
      </c>
      <c r="C359" t="str">
        <v>Servicio</v>
      </c>
      <c r="D359" t="str">
        <v>iCloud</v>
      </c>
      <c r="E359">
        <v>15.35</v>
      </c>
      <c r="F359" t="str">
        <v>Interbank</v>
      </c>
      <c r="G359" t="str">
        <v>Mayo</v>
      </c>
    </row>
    <row r="360">
      <c r="A360" t="str">
        <v>Egreso</v>
      </c>
      <c r="B360">
        <v>46157</v>
      </c>
      <c r="C360" t="str">
        <v>Servicio</v>
      </c>
      <c r="D360" t="str">
        <v>Telefonia Movil</v>
      </c>
      <c r="E360">
        <v>39.9</v>
      </c>
      <c r="F360" t="str">
        <v>Interbank Amex</v>
      </c>
      <c r="G360" t="str">
        <v>Mayo</v>
      </c>
    </row>
    <row r="361">
      <c r="A361" t="str">
        <v>Egreso</v>
      </c>
      <c r="B361">
        <v>46157</v>
      </c>
      <c r="C361" t="str">
        <v>Gasto</v>
      </c>
      <c r="D361" t="str">
        <v>KFC</v>
      </c>
      <c r="E361">
        <v>39.05</v>
      </c>
      <c r="F361" t="str">
        <v>Interbank</v>
      </c>
      <c r="G361" t="str">
        <v>Mayo</v>
      </c>
    </row>
    <row r="362">
      <c r="A362" t="str">
        <v>Egreso</v>
      </c>
      <c r="B362">
        <v>46158</v>
      </c>
      <c r="C362" t="str">
        <v>Servicio</v>
      </c>
      <c r="D362" t="str">
        <v>Gaseosa</v>
      </c>
      <c r="E362">
        <v>2.19</v>
      </c>
      <c r="F362" t="str">
        <v>Interbank Amex</v>
      </c>
      <c r="G362" t="str">
        <v>Mayo</v>
      </c>
    </row>
    <row r="363">
      <c r="A363" t="str">
        <v>Egreso</v>
      </c>
      <c r="B363">
        <v>46158</v>
      </c>
      <c r="C363" t="str">
        <v>Gasto</v>
      </c>
      <c r="D363" t="str">
        <v>Camisa</v>
      </c>
      <c r="E363">
        <v>62</v>
      </c>
      <c r="F363" t="str">
        <v>Interbank</v>
      </c>
      <c r="G363" t="str">
        <v>Mayo</v>
      </c>
    </row>
    <row r="364">
      <c r="A364" t="str">
        <v>Egreso</v>
      </c>
      <c r="B364">
        <v>46158</v>
      </c>
      <c r="C364" t="str">
        <v>Gasto</v>
      </c>
      <c r="D364" t="str">
        <v>Pantalon</v>
      </c>
      <c r="E364">
        <v>60.19</v>
      </c>
      <c r="F364" t="str">
        <v>Interbank</v>
      </c>
      <c r="G364" t="str">
        <v>Mayo</v>
      </c>
    </row>
    <row r="365">
      <c r="A365" t="str">
        <v>Egreso</v>
      </c>
      <c r="B365">
        <v>46158</v>
      </c>
      <c r="C365" t="str">
        <v>Gasto</v>
      </c>
      <c r="D365" t="str">
        <v>Futbol</v>
      </c>
      <c r="E365">
        <v>8.5</v>
      </c>
      <c r="F365" t="str">
        <v>Interbank</v>
      </c>
      <c r="G365" t="str">
        <v>Mayo</v>
      </c>
    </row>
    <row r="366">
      <c r="A366" t="str">
        <v>Egreso</v>
      </c>
      <c r="B366">
        <v>46158</v>
      </c>
      <c r="C366" t="str">
        <v>Gasto</v>
      </c>
      <c r="D366" t="str">
        <v>Futbol</v>
      </c>
      <c r="E366">
        <v>13</v>
      </c>
      <c r="F366" t="str">
        <v>Interbank</v>
      </c>
      <c r="G366" t="str">
        <v>Mayo</v>
      </c>
    </row>
    <row r="367">
      <c r="A367" t="str">
        <v>Egreso</v>
      </c>
      <c r="B367">
        <v>46160</v>
      </c>
      <c r="C367" t="str">
        <v>Gasto</v>
      </c>
      <c r="D367" t="str">
        <v>Madre</v>
      </c>
      <c r="E367">
        <v>14</v>
      </c>
      <c r="F367" t="str">
        <v>Interbank</v>
      </c>
      <c r="G367" t="str">
        <v>Mayo</v>
      </c>
    </row>
    <row r="368">
      <c r="A368" t="str">
        <v>Egreso</v>
      </c>
      <c r="B368">
        <v>46160</v>
      </c>
      <c r="C368" t="str">
        <v>Gasto</v>
      </c>
      <c r="D368" t="str">
        <v>Taxi</v>
      </c>
      <c r="E368">
        <v>10</v>
      </c>
      <c r="F368" t="str">
        <v>Interbank</v>
      </c>
      <c r="G368" t="str">
        <v>Mayo</v>
      </c>
    </row>
    <row r="369">
      <c r="A369" t="str">
        <v>Egreso</v>
      </c>
      <c r="B369">
        <v>46160</v>
      </c>
      <c r="C369" t="str">
        <v>Gasto</v>
      </c>
      <c r="D369" t="str">
        <v>Broaster</v>
      </c>
      <c r="E369">
        <v>29</v>
      </c>
      <c r="F369" t="str">
        <v>Interbank Amex</v>
      </c>
      <c r="G369" t="str">
        <v>Mayo</v>
      </c>
    </row>
    <row r="370">
      <c r="A370" t="str">
        <v>Egreso</v>
      </c>
      <c r="B370">
        <v>46160</v>
      </c>
      <c r="C370" t="str">
        <v>Gasto</v>
      </c>
      <c r="D370" t="str">
        <v>Bus</v>
      </c>
      <c r="E370">
        <v>7.5</v>
      </c>
      <c r="F370" t="str">
        <v>Interbank</v>
      </c>
      <c r="G370" t="str">
        <v>Mayo</v>
      </c>
    </row>
    <row r="371">
      <c r="A371" t="str">
        <v>Egreso</v>
      </c>
      <c r="B371">
        <v>46161</v>
      </c>
      <c r="C371" t="str">
        <v>Gasto</v>
      </c>
      <c r="D371" t="str">
        <v>Corte de Cabello</v>
      </c>
      <c r="E371">
        <v>20</v>
      </c>
      <c r="F371" t="str">
        <v>Interbank</v>
      </c>
      <c r="G371" t="str">
        <v>Mayo</v>
      </c>
    </row>
    <row r="372">
      <c r="A372" t="str">
        <v>Egreso</v>
      </c>
      <c r="B372">
        <v>46163</v>
      </c>
      <c r="C372" t="str">
        <v>Gasto</v>
      </c>
      <c r="D372" t="str">
        <v>Futbol</v>
      </c>
      <c r="E372">
        <v>5.69</v>
      </c>
      <c r="F372" t="str">
        <v>Interbank</v>
      </c>
      <c r="G372" t="str">
        <v>Mayo</v>
      </c>
    </row>
    <row r="373">
      <c r="A373" t="str">
        <v>Egreso</v>
      </c>
      <c r="B373">
        <v>46164</v>
      </c>
      <c r="C373" t="str">
        <v>Gasto</v>
      </c>
      <c r="D373" t="str">
        <v>Concierto  Soda Stereo</v>
      </c>
      <c r="E373">
        <v>83.08</v>
      </c>
      <c r="F373" t="str">
        <v>Interbank</v>
      </c>
      <c r="G373" t="str">
        <v>Mayo</v>
      </c>
    </row>
    <row r="374">
      <c r="A374" t="str">
        <v>Egreso</v>
      </c>
      <c r="B374">
        <v>46165</v>
      </c>
      <c r="C374" t="str">
        <v>Gasto</v>
      </c>
      <c r="D374" t="str">
        <v>Broaster</v>
      </c>
      <c r="E374">
        <v>28.1</v>
      </c>
      <c r="F374" t="str">
        <v>Interbank Amex</v>
      </c>
      <c r="G374" t="str">
        <v>Mayo</v>
      </c>
    </row>
    <row r="375">
      <c r="A375" t="str">
        <v>Egreso</v>
      </c>
      <c r="B375">
        <v>46168</v>
      </c>
      <c r="C375" t="str">
        <v>Gasto</v>
      </c>
      <c r="D375" t="str">
        <v>Café</v>
      </c>
      <c r="E375">
        <v>60</v>
      </c>
      <c r="F375" t="str">
        <v>Interbank Amex</v>
      </c>
      <c r="G375" t="str">
        <v>Mayo</v>
      </c>
    </row>
    <row r="376">
      <c r="A376" t="str">
        <v>Egreso</v>
      </c>
      <c r="B376">
        <v>46168</v>
      </c>
      <c r="C376" t="str">
        <v>Gasto</v>
      </c>
      <c r="D376" t="str">
        <v>Apuestas</v>
      </c>
      <c r="E376">
        <v>20</v>
      </c>
      <c r="F376" t="str">
        <v>Interbank</v>
      </c>
      <c r="G376" t="str">
        <v>Mayo</v>
      </c>
    </row>
    <row r="377">
      <c r="A377" t="str">
        <v>Egreso</v>
      </c>
      <c r="B377">
        <v>46169</v>
      </c>
      <c r="C377" t="str">
        <v>Gasto</v>
      </c>
      <c r="D377" t="str">
        <v>Café</v>
      </c>
      <c r="E377">
        <v>12</v>
      </c>
      <c r="F377" t="str">
        <v>Interbank Amex</v>
      </c>
      <c r="G377" t="str">
        <v>Mayo</v>
      </c>
    </row>
    <row r="378">
      <c r="A378" t="str">
        <v>Ingreso</v>
      </c>
      <c r="B378">
        <v>46174</v>
      </c>
      <c r="C378" t="str">
        <v>Otro Ing</v>
      </c>
      <c r="D378" t="str">
        <v>Bonificación Ahorro</v>
      </c>
      <c r="E378">
        <v>434.53</v>
      </c>
      <c r="F378" t="str">
        <v>Interbank</v>
      </c>
      <c r="G378" t="str">
        <v>Junio</v>
      </c>
    </row>
    <row r="379">
      <c r="A379" t="str">
        <v>Ingreso</v>
      </c>
      <c r="B379">
        <v>46174</v>
      </c>
      <c r="C379" t="str">
        <v>Sueldo</v>
      </c>
      <c r="D379" t="str">
        <v>Sueldo</v>
      </c>
      <c r="E379">
        <v>2259.63</v>
      </c>
      <c r="F379" t="str">
        <v>Interbank</v>
      </c>
      <c r="G379" t="str">
        <v>Junio</v>
      </c>
    </row>
    <row r="380">
      <c r="A380" t="str">
        <v>Ingreso</v>
      </c>
      <c r="B380">
        <v>46174</v>
      </c>
      <c r="C380" t="str">
        <v>Tarjeta</v>
      </c>
      <c r="D380" t="str">
        <v>Linea Tarjeta</v>
      </c>
      <c r="E380">
        <v>1225.9</v>
      </c>
      <c r="F380" t="str">
        <v>Ripley</v>
      </c>
      <c r="G380" t="str">
        <v>Junio</v>
      </c>
    </row>
    <row r="381">
      <c r="A381" t="str">
        <v>Ingreso</v>
      </c>
      <c r="B381">
        <v>46174</v>
      </c>
      <c r="C381" t="str">
        <v>Tarjeta</v>
      </c>
      <c r="D381" t="str">
        <v>Linea Tarjeta</v>
      </c>
      <c r="E381">
        <v>899.9</v>
      </c>
      <c r="F381" t="str">
        <v>Interbank Amex</v>
      </c>
      <c r="G381" t="str">
        <v>Junio</v>
      </c>
    </row>
    <row r="382">
      <c r="A382" t="str">
        <v>Egreso</v>
      </c>
      <c r="B382">
        <v>46174</v>
      </c>
      <c r="C382" t="str">
        <v>Gasto</v>
      </c>
      <c r="D382" t="str">
        <v>Padre</v>
      </c>
      <c r="E382">
        <v>15.66</v>
      </c>
      <c r="F382" t="str">
        <v>Interbank</v>
      </c>
      <c r="G382" t="str">
        <v>Junio</v>
      </c>
    </row>
    <row r="383">
      <c r="A383" t="str">
        <v>Egreso</v>
      </c>
      <c r="B383">
        <v>46174</v>
      </c>
      <c r="C383" t="str">
        <v>Deuda</v>
      </c>
      <c r="D383" t="str">
        <v>Pago de Tarjeta Interbank Amex</v>
      </c>
      <c r="E383">
        <v>880.45</v>
      </c>
      <c r="F383" t="str">
        <v>Interbank</v>
      </c>
      <c r="G383" t="str">
        <v>Junio</v>
      </c>
    </row>
    <row r="384">
      <c r="A384" t="str">
        <v>Egreso</v>
      </c>
      <c r="B384">
        <v>46174</v>
      </c>
      <c r="C384" t="str">
        <v>Gasto</v>
      </c>
      <c r="D384" t="str">
        <v>Corte de Cabello</v>
      </c>
      <c r="E384">
        <v>20</v>
      </c>
      <c r="F384" t="str">
        <v>Interbank</v>
      </c>
      <c r="G384" t="str">
        <v>Junio</v>
      </c>
    </row>
    <row r="385">
      <c r="A385" t="str">
        <v>Egreso</v>
      </c>
      <c r="B385">
        <v>46174</v>
      </c>
      <c r="C385" t="str">
        <v>Otro Egre</v>
      </c>
      <c r="D385" t="str">
        <v>Titulación</v>
      </c>
      <c r="E385">
        <v>434</v>
      </c>
      <c r="F385" t="str">
        <v>Interbank</v>
      </c>
      <c r="G385" t="str">
        <v>Junio</v>
      </c>
    </row>
    <row r="386">
      <c r="A386" t="str">
        <v>Egreso</v>
      </c>
      <c r="B386">
        <v>46174</v>
      </c>
      <c r="C386" t="str">
        <v>Gasto</v>
      </c>
      <c r="D386" t="str">
        <v>Madre</v>
      </c>
      <c r="E386">
        <v>26</v>
      </c>
      <c r="F386" t="str">
        <v>Interbank</v>
      </c>
      <c r="G386" t="str">
        <v>Junio</v>
      </c>
    </row>
    <row r="387">
      <c r="A387" t="str">
        <v>Egreso</v>
      </c>
      <c r="B387">
        <v>46174</v>
      </c>
      <c r="C387" t="str">
        <v>Gasto</v>
      </c>
      <c r="D387" t="str">
        <v>Carol</v>
      </c>
      <c r="E387">
        <v>10</v>
      </c>
      <c r="F387" t="str">
        <v>Interbank</v>
      </c>
      <c r="G387" t="str">
        <v>Junio</v>
      </c>
    </row>
    <row r="388">
      <c r="A388" t="str">
        <v>Egreso</v>
      </c>
      <c r="B388">
        <v>46174</v>
      </c>
      <c r="C388" t="str">
        <v>Gasto</v>
      </c>
      <c r="D388" t="str">
        <v>Detergente</v>
      </c>
      <c r="E388">
        <v>18.07</v>
      </c>
      <c r="F388" t="str">
        <v>Interbank Amex</v>
      </c>
      <c r="G388" t="str">
        <v>Junio</v>
      </c>
    </row>
    <row r="389">
      <c r="A389" t="str">
        <v>Egreso</v>
      </c>
      <c r="B389">
        <v>46174</v>
      </c>
      <c r="C389" t="str">
        <v>Gasto</v>
      </c>
      <c r="D389" t="str">
        <v>Papel Higiénico</v>
      </c>
      <c r="E389">
        <v>18.07</v>
      </c>
      <c r="F389" t="str">
        <v>Interbank Amex</v>
      </c>
      <c r="G389" t="str">
        <v>Junio</v>
      </c>
    </row>
    <row r="390">
      <c r="A390" t="str">
        <v>Egreso</v>
      </c>
      <c r="B390">
        <v>46174</v>
      </c>
      <c r="C390" t="str">
        <v>Gasto</v>
      </c>
      <c r="D390" t="str">
        <v>Pasta Dental</v>
      </c>
      <c r="E390">
        <v>18.06</v>
      </c>
      <c r="F390" t="str">
        <v>Interbank Amex</v>
      </c>
      <c r="G390" t="str">
        <v>Junio</v>
      </c>
    </row>
    <row r="391">
      <c r="A391" t="str">
        <v>Egreso</v>
      </c>
      <c r="B391">
        <v>46174</v>
      </c>
      <c r="C391" t="str">
        <v>Gasto</v>
      </c>
      <c r="D391" t="str">
        <v>Café</v>
      </c>
      <c r="E391">
        <v>17</v>
      </c>
      <c r="F391" t="str">
        <v>Interbank Amex</v>
      </c>
      <c r="G391" t="str">
        <v>Junio</v>
      </c>
    </row>
    <row r="392">
      <c r="A392" t="str">
        <v>Egreso</v>
      </c>
      <c r="B392">
        <v>46174</v>
      </c>
      <c r="C392" t="str">
        <v>Gasto</v>
      </c>
      <c r="D392" t="str">
        <v>iPhone 16</v>
      </c>
      <c r="E392">
        <v>245.75</v>
      </c>
      <c r="F392" t="str">
        <v>Interbank</v>
      </c>
      <c r="G392" t="str">
        <v>Junio</v>
      </c>
    </row>
    <row r="393">
      <c r="A393" t="str">
        <v>Egreso</v>
      </c>
      <c r="B393">
        <v>46174</v>
      </c>
      <c r="C393" t="str">
        <v>Gasto</v>
      </c>
      <c r="D393" t="str">
        <v>HappyLand</v>
      </c>
      <c r="E393">
        <v>60</v>
      </c>
      <c r="F393" t="str">
        <v>Interbank Amex</v>
      </c>
      <c r="G393" t="str">
        <v>Junio</v>
      </c>
    </row>
    <row r="394">
      <c r="A394" t="str">
        <v>Egreso</v>
      </c>
      <c r="B394">
        <v>46174</v>
      </c>
      <c r="C394" t="str">
        <v>Gasto</v>
      </c>
      <c r="D394" t="str">
        <v>Makis</v>
      </c>
      <c r="E394">
        <v>75</v>
      </c>
      <c r="F394" t="str">
        <v>Interbank Amex</v>
      </c>
      <c r="G394" t="str">
        <v>Junio</v>
      </c>
    </row>
    <row r="395">
      <c r="A395" t="str">
        <v>Egreso</v>
      </c>
      <c r="B395">
        <v>46174</v>
      </c>
      <c r="C395" t="str">
        <v>Gasto</v>
      </c>
      <c r="D395" t="str">
        <v>Bus</v>
      </c>
      <c r="E395">
        <v>3.67</v>
      </c>
      <c r="F395" t="str">
        <v>Interbank</v>
      </c>
      <c r="G395" t="str">
        <v>Junio</v>
      </c>
    </row>
    <row r="396">
      <c r="A396" t="str">
        <v>Egreso</v>
      </c>
      <c r="B396">
        <v>46174</v>
      </c>
      <c r="C396" t="str">
        <v>Gasto</v>
      </c>
      <c r="D396" t="str">
        <v>Broaster</v>
      </c>
      <c r="E396">
        <v>37.9</v>
      </c>
      <c r="F396" t="str">
        <v>Interbank</v>
      </c>
      <c r="G396" t="str">
        <v>Junio</v>
      </c>
    </row>
    <row r="397">
      <c r="A397" t="str">
        <v>Egreso</v>
      </c>
      <c r="B397">
        <v>46174</v>
      </c>
      <c r="C397" t="str">
        <v>Servicio</v>
      </c>
      <c r="D397" t="str">
        <v>Gaseosa</v>
      </c>
      <c r="E397">
        <v>8.5</v>
      </c>
      <c r="F397" t="str">
        <v>Interbank</v>
      </c>
      <c r="G397" t="str">
        <v>Junio</v>
      </c>
    </row>
    <row r="398">
      <c r="A398" t="str">
        <v>Egreso</v>
      </c>
      <c r="B398">
        <v>46174</v>
      </c>
      <c r="C398" t="str">
        <v>Gasto</v>
      </c>
      <c r="D398" t="str">
        <v>Tatuaje</v>
      </c>
      <c r="E398">
        <v>66.66</v>
      </c>
      <c r="F398" t="str">
        <v>Interbank</v>
      </c>
      <c r="G398" t="str">
        <v>Junio</v>
      </c>
    </row>
    <row r="399">
      <c r="A399" t="str">
        <v>Egreso</v>
      </c>
      <c r="B399">
        <v>46174</v>
      </c>
      <c r="C399" t="str">
        <v>Gasto</v>
      </c>
      <c r="D399" t="str">
        <v>Bowling</v>
      </c>
      <c r="E399">
        <v>41.17</v>
      </c>
      <c r="F399" t="str">
        <v>Interbank</v>
      </c>
      <c r="G399" t="str">
        <v>Junio</v>
      </c>
    </row>
    <row r="400">
      <c r="A400" t="str">
        <v>Egreso</v>
      </c>
      <c r="B400">
        <v>46174</v>
      </c>
      <c r="C400" t="str">
        <v>Gasto</v>
      </c>
      <c r="D400" t="str">
        <v>Bus</v>
      </c>
      <c r="E400">
        <v>7</v>
      </c>
      <c r="F400" t="str">
        <v>Interbank</v>
      </c>
      <c r="G400" t="str">
        <v>Junio</v>
      </c>
    </row>
    <row r="401">
      <c r="A401" t="str">
        <v>Egreso</v>
      </c>
      <c r="B401">
        <v>46174</v>
      </c>
      <c r="C401" t="str">
        <v>Gasto</v>
      </c>
      <c r="D401" t="str">
        <v>Bus</v>
      </c>
      <c r="E401">
        <v>2</v>
      </c>
      <c r="F401" t="str">
        <v>Interbank</v>
      </c>
      <c r="G401" t="str">
        <v>Junio</v>
      </c>
    </row>
    <row r="402">
      <c r="A402" t="str">
        <v>Egreso</v>
      </c>
      <c r="B402">
        <v>46174</v>
      </c>
      <c r="C402" t="str">
        <v>Gasto</v>
      </c>
      <c r="D402" t="str">
        <v>Bepanten</v>
      </c>
      <c r="E402">
        <v>27.5</v>
      </c>
      <c r="F402" t="str">
        <v>Interbank Amex</v>
      </c>
      <c r="G402" t="str">
        <v>Junio</v>
      </c>
    </row>
    <row r="403">
      <c r="A403" t="str">
        <v>Egreso</v>
      </c>
      <c r="B403">
        <v>46174</v>
      </c>
      <c r="C403" t="str">
        <v>Gasto</v>
      </c>
      <c r="D403" t="str">
        <v>Futbol</v>
      </c>
      <c r="E403">
        <v>38.3</v>
      </c>
      <c r="F403" t="str">
        <v>Interbank</v>
      </c>
      <c r="G403" t="str">
        <v>Junio</v>
      </c>
    </row>
    <row r="404">
      <c r="A404" t="str">
        <v>Egreso</v>
      </c>
      <c r="B404">
        <v>46174</v>
      </c>
      <c r="C404" t="str">
        <v>Gasto</v>
      </c>
      <c r="D404" t="str">
        <v>Chicharron</v>
      </c>
      <c r="E404">
        <v>20</v>
      </c>
      <c r="F404" t="str">
        <v>Interbank</v>
      </c>
      <c r="G404" t="str">
        <v>Junio</v>
      </c>
    </row>
    <row r="405">
      <c r="A405" t="str">
        <v>Egreso</v>
      </c>
      <c r="B405">
        <v>46174</v>
      </c>
      <c r="C405" t="str">
        <v>Gasto</v>
      </c>
      <c r="D405" t="str">
        <v>Padre</v>
      </c>
      <c r="E405">
        <v>16.7</v>
      </c>
      <c r="F405" t="str">
        <v>Interbank</v>
      </c>
      <c r="G405" t="str">
        <v>Junio</v>
      </c>
    </row>
    <row r="406">
      <c r="A406" t="str">
        <v>Egreso</v>
      </c>
      <c r="B406">
        <v>46174</v>
      </c>
      <c r="C406" t="str">
        <v>Servicio</v>
      </c>
      <c r="D406" t="str">
        <v>Spotify</v>
      </c>
      <c r="E406">
        <v>11.9</v>
      </c>
      <c r="F406" t="str">
        <v>Interbank Amex</v>
      </c>
      <c r="G406" t="str">
        <v>Junio</v>
      </c>
    </row>
    <row r="407">
      <c r="A407" t="str">
        <v>Egreso</v>
      </c>
      <c r="B407">
        <v>46174</v>
      </c>
      <c r="C407" t="str">
        <v>Gasto</v>
      </c>
      <c r="D407" t="str">
        <v>Milagros</v>
      </c>
      <c r="E407">
        <v>9</v>
      </c>
      <c r="F407" t="str">
        <v>Interbank</v>
      </c>
      <c r="G407" t="str">
        <v>Junio</v>
      </c>
    </row>
    <row r="408">
      <c r="A408" t="str">
        <v>Egreso</v>
      </c>
      <c r="B408">
        <v>46174</v>
      </c>
      <c r="C408" t="str">
        <v>Servicio</v>
      </c>
      <c r="D408" t="str">
        <v>Agua + Mantenimiento</v>
      </c>
      <c r="E408">
        <v>158.1</v>
      </c>
      <c r="F408" t="str">
        <v>Interbank</v>
      </c>
      <c r="G408" t="str">
        <v>Junio</v>
      </c>
    </row>
    <row r="409">
      <c r="A409" t="str">
        <v>Egreso</v>
      </c>
      <c r="B409">
        <v>46174</v>
      </c>
      <c r="C409" t="str">
        <v>Servicio</v>
      </c>
      <c r="D409" t="str">
        <v>Internet</v>
      </c>
      <c r="E409">
        <v>79</v>
      </c>
      <c r="F409" t="str">
        <v>Interbank Amex</v>
      </c>
      <c r="G409" t="str">
        <v>Junio</v>
      </c>
    </row>
    <row r="410">
      <c r="A410" t="str">
        <v>Egreso</v>
      </c>
      <c r="B410">
        <v>46174</v>
      </c>
      <c r="C410" t="str">
        <v>Servicio</v>
      </c>
      <c r="D410" t="str">
        <v>Luz</v>
      </c>
      <c r="E410">
        <v>102</v>
      </c>
      <c r="F410" t="str">
        <v>Interbank Amex</v>
      </c>
      <c r="G410" t="str">
        <v>Junio</v>
      </c>
    </row>
    <row r="411">
      <c r="A411" t="str">
        <v>Egreso</v>
      </c>
      <c r="B411">
        <v>46174</v>
      </c>
      <c r="C411" t="str">
        <v>Servicio</v>
      </c>
      <c r="D411" t="str">
        <v>Gas</v>
      </c>
      <c r="E411">
        <v>44.9</v>
      </c>
      <c r="F411" t="str">
        <v>Interbank Amex</v>
      </c>
      <c r="G411" t="str">
        <v>Junio</v>
      </c>
    </row>
    <row r="412">
      <c r="A412" t="str">
        <v>Egreso</v>
      </c>
      <c r="B412">
        <v>46175</v>
      </c>
      <c r="C412" t="str">
        <v>Gasto</v>
      </c>
      <c r="D412" t="str">
        <v>Cine</v>
      </c>
      <c r="E412">
        <v>79.9</v>
      </c>
      <c r="F412" t="str">
        <v>Interbank Amex</v>
      </c>
      <c r="G412" t="str">
        <v>Junio</v>
      </c>
    </row>
    <row r="413">
      <c r="A413" t="str">
        <v>Egreso</v>
      </c>
      <c r="B413">
        <v>46175</v>
      </c>
      <c r="C413" t="str">
        <v>Gasto</v>
      </c>
      <c r="D413" t="str">
        <v>Bus</v>
      </c>
      <c r="E413">
        <v>3.5</v>
      </c>
      <c r="F413" t="str">
        <v>Interbank</v>
      </c>
      <c r="G413" t="str">
        <v>Junio</v>
      </c>
    </row>
    <row r="414">
      <c r="A414" t="str">
        <v>Egreso</v>
      </c>
      <c r="B414">
        <v>46175</v>
      </c>
      <c r="C414" t="str">
        <v>Gasto</v>
      </c>
      <c r="D414" t="str">
        <v>Carol</v>
      </c>
      <c r="E414">
        <v>15</v>
      </c>
      <c r="F414" t="str">
        <v>Interbank</v>
      </c>
      <c r="G414" t="str">
        <v>Junio</v>
      </c>
    </row>
    <row r="415">
      <c r="A415" t="str">
        <v>Egreso</v>
      </c>
      <c r="B415">
        <v>46175</v>
      </c>
      <c r="C415" t="str">
        <v>Gasto</v>
      </c>
      <c r="D415" t="str">
        <v>Bus</v>
      </c>
      <c r="E415">
        <v>3.5</v>
      </c>
      <c r="F415" t="str">
        <v>Interbank</v>
      </c>
      <c r="G415" t="str">
        <v>Junio</v>
      </c>
    </row>
    <row r="416">
      <c r="A416" t="str">
        <v>Egreso</v>
      </c>
      <c r="B416">
        <v>46176</v>
      </c>
      <c r="C416" t="str">
        <v>Gasto</v>
      </c>
      <c r="D416" t="str">
        <v>Cumpleaños Padre</v>
      </c>
      <c r="E416">
        <v>170.4</v>
      </c>
      <c r="F416" t="str">
        <v>Interbank Amex</v>
      </c>
      <c r="G416" t="str">
        <v>Junio</v>
      </c>
    </row>
    <row r="417">
      <c r="A417" t="str">
        <v>Egreso</v>
      </c>
      <c r="B417">
        <v>46178</v>
      </c>
      <c r="C417" t="str">
        <v>Gasto</v>
      </c>
      <c r="D417" t="str">
        <v>Cine</v>
      </c>
      <c r="E417">
        <v>29.8</v>
      </c>
      <c r="F417" t="str">
        <v>Interbank Amex</v>
      </c>
      <c r="G417" t="str">
        <v>Junio</v>
      </c>
    </row>
    <row r="418">
      <c r="A418" t="str">
        <v>Egreso</v>
      </c>
      <c r="B418">
        <v>46178</v>
      </c>
      <c r="C418" t="str">
        <v>Gasto</v>
      </c>
      <c r="D418" t="str">
        <v>Café</v>
      </c>
      <c r="E418">
        <v>19.5</v>
      </c>
      <c r="F418" t="str">
        <v>Interbank Amex</v>
      </c>
      <c r="G418" t="str">
        <v>Junio</v>
      </c>
    </row>
    <row r="419">
      <c r="A419" t="str">
        <v>Egreso</v>
      </c>
      <c r="B419">
        <v>46178</v>
      </c>
      <c r="C419" t="str">
        <v>Gasto</v>
      </c>
      <c r="D419" t="str">
        <v>Taxi</v>
      </c>
      <c r="E419">
        <v>20</v>
      </c>
      <c r="F419" t="str">
        <v>Interbank</v>
      </c>
      <c r="G419" t="str">
        <v>Junio</v>
      </c>
    </row>
    <row r="420">
      <c r="A420" t="str">
        <v>Egreso</v>
      </c>
      <c r="B420">
        <v>46178</v>
      </c>
      <c r="C420" t="str">
        <v>Gasto</v>
      </c>
      <c r="D420" t="str">
        <v>Fridays</v>
      </c>
      <c r="E420">
        <v>100.5</v>
      </c>
      <c r="F420" t="str">
        <v>Interbank Amex</v>
      </c>
      <c r="G420" t="str">
        <v>Junio</v>
      </c>
    </row>
    <row r="421">
      <c r="A421" t="str">
        <v>Egreso</v>
      </c>
      <c r="B421">
        <v>46178</v>
      </c>
      <c r="C421" t="str">
        <v>Gasto</v>
      </c>
      <c r="D421" t="str">
        <v>Karts</v>
      </c>
      <c r="E421">
        <v>30</v>
      </c>
      <c r="F421" t="str">
        <v>Interbank Amex</v>
      </c>
      <c r="G421" t="str">
        <v>Junio</v>
      </c>
    </row>
    <row r="422">
      <c r="A422" t="str">
        <v>Egreso</v>
      </c>
      <c r="B422">
        <v>46178</v>
      </c>
      <c r="C422" t="str">
        <v>Gasto</v>
      </c>
      <c r="D422" t="str">
        <v>Desvagramen</v>
      </c>
      <c r="E422">
        <v>16.9</v>
      </c>
      <c r="F422" t="str">
        <v>Ripley</v>
      </c>
      <c r="G422" t="str">
        <v>Junio</v>
      </c>
    </row>
    <row r="423">
      <c r="A423" t="str">
        <v>Egreso</v>
      </c>
      <c r="B423">
        <v>46178</v>
      </c>
      <c r="C423" t="str">
        <v>Gasto</v>
      </c>
      <c r="D423" t="str">
        <v>Fifa 26</v>
      </c>
      <c r="E423">
        <v>67.8</v>
      </c>
      <c r="F423" t="str">
        <v>Ripley</v>
      </c>
      <c r="G423" t="str">
        <v>Junio</v>
      </c>
    </row>
    <row r="424">
      <c r="A424" t="str">
        <v>Egreso</v>
      </c>
      <c r="B424">
        <v>46180</v>
      </c>
      <c r="C424" t="str">
        <v>Gasto</v>
      </c>
      <c r="D424" t="str">
        <v>Chifa</v>
      </c>
      <c r="E424">
        <v>112</v>
      </c>
      <c r="F424" t="str">
        <v>Ripley</v>
      </c>
      <c r="G424" t="str">
        <v>Junio</v>
      </c>
    </row>
    <row r="425">
      <c r="A425" t="str">
        <v>Egreso</v>
      </c>
      <c r="B425">
        <v>46181</v>
      </c>
      <c r="C425" t="str">
        <v>Gasto</v>
      </c>
      <c r="D425" t="str">
        <v>Apuestas</v>
      </c>
      <c r="E425">
        <v>30</v>
      </c>
      <c r="F425" t="str">
        <v>Ripley</v>
      </c>
      <c r="G425" t="str">
        <v>Junio</v>
      </c>
    </row>
    <row r="426">
      <c r="A426" t="str">
        <v>Ingreso</v>
      </c>
      <c r="B426">
        <v>46181</v>
      </c>
      <c r="C426" t="str">
        <v>Otro Ing</v>
      </c>
      <c r="D426" t="str">
        <v>Prestamo BCP</v>
      </c>
      <c r="E426">
        <v>1717.92</v>
      </c>
      <c r="F426" t="str">
        <v>Interbank</v>
      </c>
      <c r="G426" t="str">
        <v>Junio</v>
      </c>
    </row>
    <row r="427">
      <c r="A427" t="str">
        <v>Egreso</v>
      </c>
      <c r="B427">
        <v>46181</v>
      </c>
      <c r="C427" t="str">
        <v>Gasto</v>
      </c>
      <c r="D427" t="str">
        <v>Viaje Brasil</v>
      </c>
      <c r="E427">
        <v>1600.06</v>
      </c>
      <c r="F427" t="str">
        <v>Interbank</v>
      </c>
      <c r="G427" t="str">
        <v>Junio</v>
      </c>
    </row>
    <row r="428">
      <c r="A428" t="str">
        <v>Egreso</v>
      </c>
      <c r="B428">
        <v>46181</v>
      </c>
      <c r="C428" t="str">
        <v>Gasto</v>
      </c>
      <c r="D428" t="str">
        <v>Futbol</v>
      </c>
      <c r="E428">
        <v>12</v>
      </c>
      <c r="F428" t="str">
        <v>Interbank</v>
      </c>
      <c r="G428" t="str">
        <v>Junio</v>
      </c>
    </row>
    <row r="429">
      <c r="A429" t="str">
        <v>Egreso</v>
      </c>
      <c r="B429">
        <v>46181</v>
      </c>
      <c r="C429" t="str">
        <v>Gasto</v>
      </c>
      <c r="D429" t="str">
        <v>Taxi</v>
      </c>
      <c r="E429">
        <v>50</v>
      </c>
      <c r="F429" t="str">
        <v>Interbank</v>
      </c>
      <c r="G429" t="str">
        <v>Junio</v>
      </c>
    </row>
    <row r="430">
      <c r="A430" t="str">
        <v>Egreso</v>
      </c>
      <c r="B430">
        <v>46182</v>
      </c>
      <c r="C430" t="str">
        <v>Gasto</v>
      </c>
      <c r="D430" t="str">
        <v>Café</v>
      </c>
      <c r="E430">
        <v>20</v>
      </c>
      <c r="F430" t="str">
        <v>Ripley</v>
      </c>
      <c r="G430" t="str">
        <v>Junio</v>
      </c>
    </row>
    <row r="431">
      <c r="A431" t="str">
        <v>Egreso</v>
      </c>
      <c r="B431">
        <v>46182</v>
      </c>
      <c r="C431" t="str">
        <v>Gasto</v>
      </c>
      <c r="D431" t="str">
        <v>Bus</v>
      </c>
      <c r="E431">
        <v>2.5</v>
      </c>
      <c r="F431" t="str">
        <v>Interbank</v>
      </c>
      <c r="G431" t="str">
        <v>Junio</v>
      </c>
    </row>
    <row r="432">
      <c r="A432" t="str">
        <v>Egreso</v>
      </c>
      <c r="B432">
        <v>46182</v>
      </c>
      <c r="C432" t="str">
        <v>Gasto</v>
      </c>
      <c r="D432" t="str">
        <v>Café</v>
      </c>
      <c r="E432">
        <v>10</v>
      </c>
      <c r="F432" t="str">
        <v>Interbank</v>
      </c>
      <c r="G432" t="str">
        <v>Junio</v>
      </c>
    </row>
    <row r="433">
      <c r="A433" t="str">
        <v>Egreso</v>
      </c>
      <c r="B433">
        <v>46182</v>
      </c>
      <c r="C433" t="str">
        <v>Gasto</v>
      </c>
      <c r="D433" t="str">
        <v>Bus</v>
      </c>
      <c r="E433">
        <v>6.5</v>
      </c>
      <c r="F433" t="str">
        <v>Interbank</v>
      </c>
      <c r="G433" t="str">
        <v>Junio</v>
      </c>
    </row>
    <row r="434">
      <c r="A434" t="str">
        <v>Egreso</v>
      </c>
      <c r="B434">
        <v>46182</v>
      </c>
      <c r="C434" t="str">
        <v>Gasto</v>
      </c>
      <c r="D434" t="str">
        <v>Bus</v>
      </c>
      <c r="E434">
        <v>4</v>
      </c>
      <c r="F434" t="str">
        <v>Interbank</v>
      </c>
      <c r="G434" t="str">
        <v>Junio</v>
      </c>
    </row>
    <row r="435">
      <c r="A435" t="str">
        <v>Egreso</v>
      </c>
      <c r="B435">
        <v>46182</v>
      </c>
      <c r="C435" t="str">
        <v>Gasto</v>
      </c>
      <c r="D435" t="str">
        <v>Café</v>
      </c>
      <c r="E435">
        <v>13</v>
      </c>
      <c r="F435" t="str">
        <v>Ripley</v>
      </c>
      <c r="G435" t="str">
        <v>Junio</v>
      </c>
    </row>
    <row r="436">
      <c r="A436" t="str">
        <v>Egreso</v>
      </c>
      <c r="B436">
        <v>46182</v>
      </c>
      <c r="C436" t="str">
        <v>Gasto</v>
      </c>
      <c r="D436" t="str">
        <v>Planet Chicken</v>
      </c>
      <c r="E436">
        <v>55.3</v>
      </c>
      <c r="F436" t="str">
        <v>Ripley</v>
      </c>
      <c r="G436" t="str">
        <v>Junio</v>
      </c>
    </row>
    <row r="437">
      <c r="A437" t="str">
        <v>Egreso</v>
      </c>
      <c r="B437">
        <v>46183</v>
      </c>
      <c r="C437" t="str">
        <v>Gasto</v>
      </c>
      <c r="D437" t="str">
        <v>Café</v>
      </c>
      <c r="E437">
        <v>18</v>
      </c>
      <c r="F437" t="str">
        <v>Interbank Amex</v>
      </c>
      <c r="G437" t="str">
        <v>Junio</v>
      </c>
    </row>
    <row r="438">
      <c r="A438" t="str">
        <v>Egreso</v>
      </c>
      <c r="B438">
        <v>46183</v>
      </c>
      <c r="C438" t="str">
        <v>Gasto</v>
      </c>
      <c r="D438" t="str">
        <v>Chifa</v>
      </c>
      <c r="E438">
        <v>25.5</v>
      </c>
      <c r="F438" t="str">
        <v>Interbank Amex</v>
      </c>
      <c r="G438" t="str">
        <v>Junio</v>
      </c>
    </row>
    <row r="439">
      <c r="A439" t="str">
        <v>Egreso</v>
      </c>
      <c r="B439">
        <v>46183</v>
      </c>
      <c r="C439" t="str">
        <v>Gasto</v>
      </c>
      <c r="D439" t="str">
        <v>Bus</v>
      </c>
      <c r="E439">
        <v>5.5</v>
      </c>
      <c r="F439" t="str">
        <v>Interbank</v>
      </c>
      <c r="G439" t="str">
        <v>Junio</v>
      </c>
    </row>
    <row r="440">
      <c r="A440" t="str">
        <v>Egreso</v>
      </c>
      <c r="B440">
        <v>46183</v>
      </c>
      <c r="C440" t="str">
        <v>Gasto</v>
      </c>
      <c r="D440" t="str">
        <v>Taxi</v>
      </c>
      <c r="E440">
        <v>11.6</v>
      </c>
      <c r="F440" t="str">
        <v>Interbank</v>
      </c>
      <c r="G440" t="str">
        <v>Junio</v>
      </c>
    </row>
    <row r="441">
      <c r="A441" t="str">
        <v>Egreso</v>
      </c>
      <c r="B441">
        <v>46184</v>
      </c>
      <c r="C441" t="str">
        <v>Servicio</v>
      </c>
      <c r="D441" t="str">
        <v>Streaming</v>
      </c>
      <c r="E441">
        <v>21.5</v>
      </c>
      <c r="F441" t="str">
        <v>Interbank</v>
      </c>
      <c r="G441" t="str">
        <v>Junio</v>
      </c>
    </row>
    <row r="442">
      <c r="A442" t="str">
        <v>Egreso</v>
      </c>
      <c r="B442">
        <v>46184</v>
      </c>
      <c r="C442" t="str">
        <v>Gasto</v>
      </c>
      <c r="D442" t="str">
        <v>Hotel</v>
      </c>
      <c r="E442">
        <v>50</v>
      </c>
      <c r="F442" t="str">
        <v>Interbank</v>
      </c>
      <c r="G442" t="str">
        <v>Junio</v>
      </c>
    </row>
    <row r="443">
      <c r="A443" t="str">
        <v>Egreso</v>
      </c>
      <c r="B443">
        <v>46184</v>
      </c>
      <c r="C443" t="str">
        <v>Gasto</v>
      </c>
      <c r="D443" t="str">
        <v>Condones</v>
      </c>
      <c r="E443">
        <v>12</v>
      </c>
      <c r="F443" t="str">
        <v>Interbank</v>
      </c>
      <c r="G443" t="str">
        <v>Junio</v>
      </c>
    </row>
    <row r="444">
      <c r="A444" t="str">
        <v>Egreso</v>
      </c>
      <c r="B444">
        <v>46184</v>
      </c>
      <c r="C444" t="str">
        <v>Servicio</v>
      </c>
      <c r="D444" t="str">
        <v>Agua Mineral</v>
      </c>
      <c r="E444">
        <v>7</v>
      </c>
      <c r="F444" t="str">
        <v>Interbank</v>
      </c>
      <c r="G444" t="str">
        <v>Junio</v>
      </c>
    </row>
    <row r="445">
      <c r="A445" t="str">
        <v>Ingreso</v>
      </c>
      <c r="B445">
        <v>46184</v>
      </c>
      <c r="C445" t="str">
        <v>Otro Ing</v>
      </c>
      <c r="D445" t="str">
        <v>Prestamo Yape</v>
      </c>
      <c r="E445">
        <v>600</v>
      </c>
      <c r="F445" t="str">
        <v>Interbank</v>
      </c>
      <c r="G445" t="str">
        <v>Junio</v>
      </c>
    </row>
    <row r="446">
      <c r="A446" t="str">
        <v>Egreso</v>
      </c>
      <c r="B446">
        <v>46184</v>
      </c>
      <c r="C446" t="str">
        <v>Servicio</v>
      </c>
      <c r="D446" t="str">
        <v>Gaseosa</v>
      </c>
      <c r="E446">
        <v>5</v>
      </c>
      <c r="F446" t="str">
        <v>Interbank</v>
      </c>
      <c r="G446" t="str">
        <v>Junio</v>
      </c>
    </row>
    <row r="447">
      <c r="A447" t="str">
        <v>Egreso</v>
      </c>
      <c r="B447">
        <v>46184</v>
      </c>
      <c r="C447" t="str">
        <v>Gasto</v>
      </c>
      <c r="D447" t="str">
        <v>Figuritas</v>
      </c>
      <c r="E447">
        <v>9</v>
      </c>
      <c r="F447" t="str">
        <v>Interbank</v>
      </c>
      <c r="G447" t="str">
        <v>Junio</v>
      </c>
    </row>
    <row r="448">
      <c r="A448" t="str">
        <v>Egreso</v>
      </c>
      <c r="B448">
        <v>46185</v>
      </c>
      <c r="C448" t="str">
        <v>Gasto</v>
      </c>
      <c r="D448" t="str">
        <v>Broaster</v>
      </c>
      <c r="E448">
        <v>10</v>
      </c>
      <c r="F448" t="str">
        <v>Interbank</v>
      </c>
      <c r="G448" t="str">
        <v>Junio</v>
      </c>
    </row>
    <row r="449">
      <c r="A449" t="str">
        <v>Egreso</v>
      </c>
      <c r="B449">
        <v>46185</v>
      </c>
      <c r="C449" t="str">
        <v>Gasto</v>
      </c>
      <c r="D449" t="str">
        <v>Bus</v>
      </c>
      <c r="E449">
        <v>7</v>
      </c>
      <c r="F449" t="str">
        <v>Interbank</v>
      </c>
      <c r="G449" t="str">
        <v>Junio</v>
      </c>
    </row>
    <row r="450">
      <c r="A450" t="str">
        <v>Egreso</v>
      </c>
      <c r="B450">
        <v>46186</v>
      </c>
      <c r="C450" t="str">
        <v>Gasto</v>
      </c>
      <c r="D450" t="str">
        <v>Carol</v>
      </c>
      <c r="E450">
        <v>25</v>
      </c>
      <c r="F450" t="str">
        <v>Interbank</v>
      </c>
      <c r="G450" t="str">
        <v>Junio</v>
      </c>
    </row>
    <row r="451">
      <c r="A451" t="str">
        <v>Egreso</v>
      </c>
      <c r="B451">
        <v>46186</v>
      </c>
      <c r="C451" t="str">
        <v>Gasto</v>
      </c>
      <c r="D451" t="str">
        <v>Broaster</v>
      </c>
      <c r="E451">
        <v>10</v>
      </c>
      <c r="F451" t="str">
        <v>Interbank</v>
      </c>
      <c r="G451" t="str">
        <v>Junio</v>
      </c>
    </row>
    <row r="452">
      <c r="A452" t="str">
        <v>Egreso</v>
      </c>
      <c r="B452">
        <v>46186</v>
      </c>
      <c r="C452" t="str">
        <v>Gasto</v>
      </c>
      <c r="D452" t="str">
        <v>Taxi</v>
      </c>
      <c r="E452">
        <v>21.5</v>
      </c>
      <c r="F452" t="str">
        <v>Interbank</v>
      </c>
      <c r="G452" t="str">
        <v>Junio</v>
      </c>
    </row>
    <row r="453">
      <c r="A453" t="str">
        <v>Egreso</v>
      </c>
      <c r="B453">
        <v>46186</v>
      </c>
      <c r="C453" t="str">
        <v>Gasto</v>
      </c>
      <c r="D453" t="str">
        <v>Café</v>
      </c>
      <c r="E453">
        <v>16.5</v>
      </c>
      <c r="F453" t="str">
        <v>Interbank</v>
      </c>
      <c r="G453" t="str">
        <v>Junio</v>
      </c>
    </row>
    <row r="454">
      <c r="A454" t="str">
        <v>Egreso</v>
      </c>
      <c r="B454">
        <v>46186</v>
      </c>
      <c r="C454" t="str">
        <v>Gasto</v>
      </c>
      <c r="D454" t="str">
        <v>Taxi</v>
      </c>
      <c r="E454">
        <v>16</v>
      </c>
      <c r="F454" t="str">
        <v>Interbank Amex</v>
      </c>
      <c r="G454" t="str">
        <v>Junio</v>
      </c>
    </row>
    <row r="455">
      <c r="A455" t="str">
        <v>Egreso</v>
      </c>
      <c r="B455">
        <v>46186</v>
      </c>
      <c r="C455" t="str">
        <v>Gasto</v>
      </c>
      <c r="D455" t="str">
        <v>Casaca</v>
      </c>
      <c r="E455">
        <v>100</v>
      </c>
      <c r="F455" t="str">
        <v>Ripley</v>
      </c>
      <c r="G455" t="str">
        <v>Junio</v>
      </c>
    </row>
    <row r="456">
      <c r="A456" t="str">
        <v>Egreso</v>
      </c>
      <c r="B456">
        <v>46186</v>
      </c>
      <c r="C456" t="str">
        <v>Gasto</v>
      </c>
      <c r="D456" t="str">
        <v>Dollarcity</v>
      </c>
      <c r="E456">
        <v>54</v>
      </c>
      <c r="F456" t="str">
        <v>Ripley</v>
      </c>
      <c r="G456" t="str">
        <v>Junio</v>
      </c>
    </row>
    <row r="457">
      <c r="A457" t="str">
        <v>Egreso</v>
      </c>
      <c r="B457">
        <v>46186</v>
      </c>
      <c r="C457" t="str">
        <v>Gasto</v>
      </c>
      <c r="D457" t="str">
        <v>Café</v>
      </c>
      <c r="E457">
        <v>106</v>
      </c>
      <c r="F457" t="str">
        <v>Interbank</v>
      </c>
      <c r="G457" t="str">
        <v>Junio</v>
      </c>
    </row>
    <row r="458">
      <c r="A458" t="str">
        <v>Egreso</v>
      </c>
      <c r="B458">
        <v>46186</v>
      </c>
      <c r="C458" t="str">
        <v>Gasto</v>
      </c>
      <c r="D458" t="str">
        <v>Bus</v>
      </c>
      <c r="E458">
        <v>10.4</v>
      </c>
      <c r="F458" t="str">
        <v>Interbank</v>
      </c>
      <c r="G458" t="str">
        <v>Junio</v>
      </c>
    </row>
    <row r="459">
      <c r="A459" t="str">
        <v>Egreso</v>
      </c>
      <c r="B459">
        <v>46186</v>
      </c>
      <c r="C459" t="str">
        <v>Gasto</v>
      </c>
      <c r="D459" t="str">
        <v>Carol</v>
      </c>
      <c r="E459">
        <v>70</v>
      </c>
      <c r="F459" t="str">
        <v>Interbank</v>
      </c>
      <c r="G459" t="str">
        <v>Junio</v>
      </c>
    </row>
    <row r="460">
      <c r="A460" t="str">
        <v>Egreso</v>
      </c>
      <c r="B460">
        <v>46186</v>
      </c>
      <c r="C460" t="str">
        <v>Servicio</v>
      </c>
      <c r="D460" t="str">
        <v>Gaseosa</v>
      </c>
      <c r="E460">
        <v>5</v>
      </c>
      <c r="F460" t="str">
        <v>Interbank</v>
      </c>
      <c r="G460" t="str">
        <v>Junio</v>
      </c>
    </row>
    <row r="461">
      <c r="A461" t="str">
        <v>Egreso</v>
      </c>
      <c r="B461">
        <v>46186</v>
      </c>
      <c r="C461" t="str">
        <v>Gasto</v>
      </c>
      <c r="D461" t="str">
        <v>Dollarcity</v>
      </c>
      <c r="E461">
        <v>39.9</v>
      </c>
      <c r="F461" t="str">
        <v>Interbank</v>
      </c>
      <c r="G461" t="str">
        <v>Junio</v>
      </c>
    </row>
    <row r="462">
      <c r="A462" t="str">
        <v>Egreso</v>
      </c>
      <c r="B462">
        <v>46186</v>
      </c>
      <c r="C462" t="str">
        <v>Gasto</v>
      </c>
      <c r="D462" t="str">
        <v>Bus</v>
      </c>
      <c r="E462">
        <v>10</v>
      </c>
      <c r="F462" t="str">
        <v>Interbank</v>
      </c>
      <c r="G462" t="str">
        <v>Junio</v>
      </c>
    </row>
    <row r="463">
      <c r="A463" t="str">
        <v>Egreso</v>
      </c>
      <c r="B463">
        <v>46186</v>
      </c>
      <c r="C463" t="str">
        <v>Gasto</v>
      </c>
      <c r="D463" t="str">
        <v>Casaca</v>
      </c>
      <c r="E463">
        <v>144.92</v>
      </c>
      <c r="F463" t="str">
        <v>Ripley</v>
      </c>
      <c r="G463" t="str">
        <v>Junio</v>
      </c>
    </row>
    <row r="464">
      <c r="A464" t="str">
        <v>Ingreso</v>
      </c>
      <c r="B464">
        <v>46186</v>
      </c>
      <c r="C464" t="str">
        <v>Otro Ing</v>
      </c>
      <c r="D464" t="str">
        <v>Carol</v>
      </c>
      <c r="E464">
        <v>145</v>
      </c>
      <c r="F464" t="str">
        <v>Interbank</v>
      </c>
      <c r="G464" t="str">
        <v>Junio</v>
      </c>
    </row>
    <row r="465">
      <c r="A465" t="str">
        <v>Egreso</v>
      </c>
      <c r="B465">
        <v>46187</v>
      </c>
      <c r="C465" t="str">
        <v>Servicio</v>
      </c>
      <c r="D465" t="str">
        <v>iCloud</v>
      </c>
      <c r="E465">
        <v>14.96</v>
      </c>
      <c r="F465" t="str">
        <v>Interbank</v>
      </c>
      <c r="G465" t="str">
        <v>Junio</v>
      </c>
    </row>
    <row r="466">
      <c r="A466" t="str">
        <v>Egreso</v>
      </c>
      <c r="B466">
        <v>46187</v>
      </c>
      <c r="C466" t="str">
        <v>Gasto</v>
      </c>
      <c r="D466" t="str">
        <v>Broaster</v>
      </c>
      <c r="E466">
        <v>12</v>
      </c>
      <c r="F466" t="str">
        <v>Interbank</v>
      </c>
      <c r="G466" t="str">
        <v>Junio</v>
      </c>
    </row>
    <row r="467">
      <c r="A467" t="str">
        <v>Egreso</v>
      </c>
      <c r="B467">
        <v>46188</v>
      </c>
      <c r="C467" t="str">
        <v>Servicio</v>
      </c>
      <c r="D467" t="str">
        <v>Telefonia Movil</v>
      </c>
      <c r="E467">
        <v>39.9</v>
      </c>
      <c r="F467" t="str">
        <v>Interbank Amex</v>
      </c>
      <c r="G467" t="str">
        <v>Junio</v>
      </c>
    </row>
    <row r="468">
      <c r="A468" t="str">
        <v>Egreso</v>
      </c>
      <c r="B468">
        <v>46188</v>
      </c>
      <c r="C468" t="str">
        <v>Gasto</v>
      </c>
      <c r="D468" t="str">
        <v>IA</v>
      </c>
      <c r="E468">
        <v>21.91</v>
      </c>
      <c r="F468" t="str">
        <v>Interbank</v>
      </c>
      <c r="G468" t="str">
        <v>Junio</v>
      </c>
    </row>
    <row r="469">
      <c r="A469" t="str">
        <v>Egreso</v>
      </c>
      <c r="B469">
        <v>46188</v>
      </c>
      <c r="C469" t="str">
        <v>Gasto</v>
      </c>
      <c r="D469" t="str">
        <v>IA</v>
      </c>
      <c r="E469">
        <v>40</v>
      </c>
      <c r="F469" t="str">
        <v>Interbank</v>
      </c>
      <c r="G469" t="str">
        <v>Junio</v>
      </c>
    </row>
    <row r="470">
      <c r="A470" t="str">
        <v>Egreso</v>
      </c>
      <c r="B470">
        <v>46189</v>
      </c>
      <c r="C470" t="str">
        <v>Gasto</v>
      </c>
      <c r="D470" t="str">
        <v>Bus</v>
      </c>
      <c r="E470">
        <v>7</v>
      </c>
      <c r="F470" t="str">
        <v>Interbank</v>
      </c>
      <c r="G470" t="str">
        <v>Junio</v>
      </c>
    </row>
    <row r="471">
      <c r="A471" t="str">
        <v>Egreso</v>
      </c>
      <c r="B471">
        <v>46189</v>
      </c>
      <c r="C471" t="str">
        <v>Gasto</v>
      </c>
      <c r="D471" t="str">
        <v>Café</v>
      </c>
      <c r="E471">
        <v>13.5</v>
      </c>
      <c r="F471" t="str">
        <v>Interbank</v>
      </c>
      <c r="G471" t="str">
        <v>Junio</v>
      </c>
    </row>
    <row r="472">
      <c r="A472" t="str">
        <v>Egreso</v>
      </c>
      <c r="B472">
        <v>46189</v>
      </c>
      <c r="C472" t="str">
        <v>Gasto</v>
      </c>
      <c r="D472" t="str">
        <v>Broaster</v>
      </c>
      <c r="E472">
        <v>10</v>
      </c>
      <c r="F472" t="str">
        <v>Interbank</v>
      </c>
      <c r="G472" t="str">
        <v>Junio</v>
      </c>
    </row>
    <row r="473">
      <c r="A473" t="str">
        <v>Egreso</v>
      </c>
      <c r="B473">
        <v>46190</v>
      </c>
      <c r="C473" t="str">
        <v>Gasto</v>
      </c>
      <c r="D473" t="str">
        <v>Broaster</v>
      </c>
      <c r="E473">
        <v>12.77</v>
      </c>
      <c r="F473" t="str">
        <v>Interbank</v>
      </c>
      <c r="G473" t="str">
        <v>Junio</v>
      </c>
    </row>
    <row r="474">
      <c r="A474" t="str">
        <v>Ingreso</v>
      </c>
      <c r="B474">
        <v>46192</v>
      </c>
      <c r="C474" t="str">
        <v>Otro Ing</v>
      </c>
      <c r="D474" t="str">
        <v>Apuestas</v>
      </c>
      <c r="E474">
        <v>50</v>
      </c>
      <c r="F474" t="str">
        <v>Interbank</v>
      </c>
      <c r="G474" t="str">
        <v>Junio</v>
      </c>
    </row>
    <row r="475">
      <c r="A475" t="str">
        <v>Egreso</v>
      </c>
      <c r="B475">
        <v>46192</v>
      </c>
      <c r="C475" t="str">
        <v>Servicio</v>
      </c>
      <c r="D475" t="str">
        <v>Gaseosa</v>
      </c>
      <c r="E475">
        <v>3</v>
      </c>
      <c r="F475" t="str">
        <v>Interbank</v>
      </c>
      <c r="G475" t="str">
        <v>Junio</v>
      </c>
    </row>
    <row r="476">
      <c r="A476" t="str">
        <v>Egreso</v>
      </c>
      <c r="B476">
        <v>46192</v>
      </c>
      <c r="C476" t="str">
        <v>Gasto</v>
      </c>
      <c r="D476" t="str">
        <v>Futbol</v>
      </c>
      <c r="E476">
        <v>5</v>
      </c>
      <c r="F476" t="str">
        <v>Interbank</v>
      </c>
      <c r="G476" t="str">
        <v>Junio</v>
      </c>
    </row>
    <row r="477">
      <c r="A477" t="str">
        <v>Egreso</v>
      </c>
      <c r="B477">
        <v>46193</v>
      </c>
      <c r="C477" t="str">
        <v>Gasto</v>
      </c>
      <c r="D477" t="str">
        <v>Bus</v>
      </c>
      <c r="E477">
        <v>1.5</v>
      </c>
      <c r="F477" t="str">
        <v>Interbank</v>
      </c>
      <c r="G477" t="str">
        <v>Junio</v>
      </c>
    </row>
    <row r="478">
      <c r="A478" t="str">
        <v>Egreso</v>
      </c>
      <c r="B478">
        <v>46193</v>
      </c>
      <c r="C478" t="str">
        <v>Gasto</v>
      </c>
      <c r="D478" t="str">
        <v>Bus</v>
      </c>
      <c r="E478">
        <v>4.5</v>
      </c>
      <c r="F478" t="str">
        <v>Interbank</v>
      </c>
      <c r="G478" t="str">
        <v>Junio</v>
      </c>
    </row>
    <row r="479">
      <c r="A479" t="str">
        <v>Egreso</v>
      </c>
      <c r="B479">
        <v>46193</v>
      </c>
      <c r="C479" t="str">
        <v>Gasto</v>
      </c>
      <c r="D479" t="str">
        <v>Figuritas</v>
      </c>
      <c r="E479">
        <v>12</v>
      </c>
      <c r="F479" t="str">
        <v>Interbank</v>
      </c>
      <c r="G479" t="str">
        <v>Junio</v>
      </c>
    </row>
    <row r="480">
      <c r="A480" t="str">
        <v>Egreso</v>
      </c>
      <c r="B480">
        <v>46193</v>
      </c>
      <c r="C480" t="str">
        <v>Gasto</v>
      </c>
      <c r="D480" t="str">
        <v>Menú</v>
      </c>
      <c r="E480">
        <v>22</v>
      </c>
      <c r="F480" t="str">
        <v>Interbank</v>
      </c>
      <c r="G480" t="str">
        <v>Junio</v>
      </c>
    </row>
    <row r="481">
      <c r="A481" t="str">
        <v>Egreso</v>
      </c>
      <c r="B481">
        <v>46193</v>
      </c>
      <c r="C481" t="str">
        <v>Gasto</v>
      </c>
      <c r="D481" t="str">
        <v>Dulce de Leche</v>
      </c>
      <c r="E481">
        <v>3.99</v>
      </c>
      <c r="F481" t="str">
        <v>Interbank Amex</v>
      </c>
      <c r="G481" t="str">
        <v>Junio</v>
      </c>
    </row>
    <row r="482">
      <c r="A482" t="str">
        <v>Egreso</v>
      </c>
      <c r="B482">
        <v>46193</v>
      </c>
      <c r="C482" t="str">
        <v>Gasto</v>
      </c>
      <c r="D482" t="str">
        <v>Futbol</v>
      </c>
      <c r="E482">
        <v>23</v>
      </c>
      <c r="F482" t="str">
        <v>Interbank</v>
      </c>
      <c r="G482" t="str">
        <v>Junio</v>
      </c>
    </row>
    <row r="483">
      <c r="A483" t="str">
        <v>Egreso</v>
      </c>
      <c r="B483">
        <v>46194</v>
      </c>
      <c r="C483" t="str">
        <v>Gasto</v>
      </c>
      <c r="D483" t="str">
        <v>Pollo a la Brasa</v>
      </c>
      <c r="E483">
        <v>21.23</v>
      </c>
      <c r="F483" t="str">
        <v>Interbank Amex</v>
      </c>
      <c r="G483" t="str">
        <v>Junio</v>
      </c>
    </row>
    <row r="484">
      <c r="A484" t="str">
        <v>Egreso</v>
      </c>
      <c r="B484">
        <v>46194</v>
      </c>
      <c r="C484" t="str">
        <v>Gasto</v>
      </c>
      <c r="D484" t="str">
        <v>Medicina Madre</v>
      </c>
      <c r="E484">
        <v>18.9</v>
      </c>
      <c r="F484" t="str">
        <v>Interbank Amex</v>
      </c>
      <c r="G484" t="str">
        <v>Junio</v>
      </c>
    </row>
    <row r="485">
      <c r="A485" t="str">
        <v>Egreso</v>
      </c>
      <c r="B485">
        <v>46194</v>
      </c>
      <c r="C485" t="str">
        <v>Gasto</v>
      </c>
      <c r="D485" t="str">
        <v>Medicina Madre</v>
      </c>
      <c r="E485">
        <v>35.2</v>
      </c>
      <c r="F485" t="str">
        <v>Interbank</v>
      </c>
      <c r="G485" t="str">
        <v>Junio</v>
      </c>
    </row>
    <row r="486">
      <c r="A486" t="str">
        <v>Egreso</v>
      </c>
      <c r="B486">
        <v>46195</v>
      </c>
      <c r="C486" t="str">
        <v>Gasto</v>
      </c>
      <c r="D486" t="str">
        <v>Hotel</v>
      </c>
      <c r="E486">
        <v>55</v>
      </c>
      <c r="F486" t="str">
        <v>Interbank Amex</v>
      </c>
      <c r="G486" t="str">
        <v>Junio</v>
      </c>
    </row>
    <row r="487">
      <c r="A487" t="str">
        <v>Egreso</v>
      </c>
      <c r="B487">
        <v>46195</v>
      </c>
      <c r="C487" t="str">
        <v>Gasto</v>
      </c>
      <c r="D487" t="str">
        <v>Condones</v>
      </c>
      <c r="E487">
        <v>12</v>
      </c>
      <c r="F487" t="str">
        <v>Interbank Amex</v>
      </c>
      <c r="G487" t="str">
        <v>Junio</v>
      </c>
    </row>
    <row r="488">
      <c r="A488" t="str">
        <v>Egreso</v>
      </c>
      <c r="B488">
        <v>46195</v>
      </c>
      <c r="C488" t="str">
        <v>Servicio</v>
      </c>
      <c r="D488" t="str">
        <v>Agua Mineral</v>
      </c>
      <c r="E488">
        <v>5</v>
      </c>
      <c r="F488" t="str">
        <v>Interbank Amex</v>
      </c>
      <c r="G488" t="str">
        <v>Junio</v>
      </c>
    </row>
    <row r="489">
      <c r="A489" t="str">
        <v>Egreso</v>
      </c>
      <c r="B489">
        <v>46195</v>
      </c>
      <c r="C489" t="str">
        <v>Gasto</v>
      </c>
      <c r="D489" t="str">
        <v>Taxi</v>
      </c>
      <c r="E489">
        <v>13</v>
      </c>
      <c r="F489" t="str">
        <v>Interbank</v>
      </c>
      <c r="G489" t="str">
        <v>Junio</v>
      </c>
    </row>
    <row r="490">
      <c r="A490" t="str">
        <v>Egreso</v>
      </c>
      <c r="B490">
        <v>46195</v>
      </c>
      <c r="C490" t="str">
        <v>Gasto</v>
      </c>
      <c r="D490" t="str">
        <v>Detergente</v>
      </c>
      <c r="E490">
        <v>7.63</v>
      </c>
      <c r="F490" t="str">
        <v>Ripley</v>
      </c>
      <c r="G490" t="str">
        <v>Junio</v>
      </c>
    </row>
    <row r="491">
      <c r="A491" t="str">
        <v>Egreso</v>
      </c>
      <c r="B491">
        <v>46195</v>
      </c>
      <c r="C491" t="str">
        <v>Gasto</v>
      </c>
      <c r="D491" t="str">
        <v>Papel Higiénico</v>
      </c>
      <c r="E491">
        <v>7.63</v>
      </c>
      <c r="F491" t="str">
        <v>Ripley</v>
      </c>
      <c r="G491" t="str">
        <v>Junio</v>
      </c>
    </row>
    <row r="492">
      <c r="A492" t="str">
        <v>Egreso</v>
      </c>
      <c r="B492">
        <v>46195</v>
      </c>
      <c r="C492" t="str">
        <v>Gasto</v>
      </c>
      <c r="D492" t="str">
        <v>Pasta Dental</v>
      </c>
      <c r="E492">
        <v>7.64</v>
      </c>
      <c r="F492" t="str">
        <v>Ripley</v>
      </c>
      <c r="G492" t="str">
        <v>Junio</v>
      </c>
    </row>
    <row r="493">
      <c r="A493" t="str">
        <v>Egreso</v>
      </c>
      <c r="B493">
        <v>46196</v>
      </c>
      <c r="C493" t="str">
        <v>Gasto</v>
      </c>
      <c r="D493" t="str">
        <v>Medicina Madre</v>
      </c>
      <c r="E493">
        <v>96</v>
      </c>
      <c r="F493" t="str">
        <v>Ripley</v>
      </c>
      <c r="G493" t="str">
        <v>Junio</v>
      </c>
    </row>
    <row r="494">
      <c r="A494" t="str">
        <v>Egreso</v>
      </c>
      <c r="B494">
        <v>46196</v>
      </c>
      <c r="C494" t="str">
        <v>Gasto</v>
      </c>
      <c r="D494" t="str">
        <v>Broaster</v>
      </c>
      <c r="E494">
        <v>40</v>
      </c>
      <c r="F494" t="str">
        <v>Ripley</v>
      </c>
      <c r="G494" t="str">
        <v>Junio</v>
      </c>
    </row>
    <row r="495">
      <c r="A495" t="str">
        <v>Ingreso</v>
      </c>
      <c r="B495">
        <v>46204</v>
      </c>
      <c r="C495" t="str">
        <v>Otro Ing</v>
      </c>
      <c r="D495" t="str">
        <v>Bonificación Ahorro</v>
      </c>
      <c r="E495">
        <v>474.94</v>
      </c>
      <c r="F495" t="str">
        <v>Interbank</v>
      </c>
      <c r="G495" t="str">
        <v>Julio</v>
      </c>
    </row>
    <row r="496">
      <c r="A496" t="str">
        <v>Ingreso</v>
      </c>
      <c r="B496">
        <v>46204</v>
      </c>
      <c r="C496" t="str">
        <v>Sueldo</v>
      </c>
      <c r="D496" t="str">
        <v>Sueldo</v>
      </c>
      <c r="E496">
        <v>2259.63</v>
      </c>
      <c r="F496" t="str">
        <v>Interbank</v>
      </c>
      <c r="G496" t="str">
        <v>Julio</v>
      </c>
    </row>
    <row r="497">
      <c r="A497" t="str">
        <v>Ingreso</v>
      </c>
      <c r="B497">
        <v>46204</v>
      </c>
      <c r="C497" t="str">
        <v>Tarjeta</v>
      </c>
      <c r="D497" t="str">
        <v>Linea Tarjeta</v>
      </c>
      <c r="E497">
        <v>883.88</v>
      </c>
      <c r="F497" t="str">
        <v>Interbank Amex</v>
      </c>
      <c r="G497" t="str">
        <v>Julio</v>
      </c>
    </row>
    <row r="498">
      <c r="A498" t="str">
        <v>Egreso</v>
      </c>
      <c r="B498">
        <v>46204</v>
      </c>
      <c r="C498" t="str">
        <v>Deuda</v>
      </c>
      <c r="D498" t="str">
        <v>Pago de Tarjeta Interbank Amex</v>
      </c>
      <c r="E498">
        <v>878</v>
      </c>
      <c r="F498" t="str">
        <v>Interbank</v>
      </c>
      <c r="G498" t="str">
        <v>Julio</v>
      </c>
    </row>
    <row r="499">
      <c r="A499" t="str">
        <v>Ingreso</v>
      </c>
      <c r="B499">
        <v>46204</v>
      </c>
      <c r="C499" t="str">
        <v>Tarjeta</v>
      </c>
      <c r="D499" t="str">
        <v>Linea Tarjeta</v>
      </c>
      <c r="E499">
        <v>227.18</v>
      </c>
      <c r="F499" t="str">
        <v>Ripley</v>
      </c>
      <c r="G499" t="str">
        <v>Julio</v>
      </c>
    </row>
    <row r="500">
      <c r="A500" t="str">
        <v>Egreso</v>
      </c>
      <c r="B500">
        <v>46204</v>
      </c>
      <c r="C500" t="str">
        <v>Otro Egre</v>
      </c>
      <c r="D500" t="str">
        <v>Titulación</v>
      </c>
      <c r="E500">
        <v>380</v>
      </c>
      <c r="F500" t="str">
        <v>Interbank</v>
      </c>
      <c r="G500" t="str">
        <v>Julio</v>
      </c>
    </row>
    <row r="501">
      <c r="A501" t="str">
        <v>Egreso</v>
      </c>
      <c r="B501">
        <v>46204</v>
      </c>
      <c r="C501" t="str">
        <v>Servicio</v>
      </c>
      <c r="D501" t="str">
        <v>Internet</v>
      </c>
      <c r="E501">
        <v>79</v>
      </c>
      <c r="F501" t="str">
        <v>Interbank Amex</v>
      </c>
      <c r="G501" t="str">
        <v>Julio</v>
      </c>
    </row>
    <row r="502">
      <c r="A502" t="str">
        <v>Egreso</v>
      </c>
      <c r="B502">
        <v>46204</v>
      </c>
      <c r="C502" t="str">
        <v>Servicio</v>
      </c>
      <c r="D502" t="str">
        <v>Luz</v>
      </c>
      <c r="E502">
        <v>94</v>
      </c>
      <c r="F502" t="str">
        <v>Interbank Amex</v>
      </c>
      <c r="G502" t="str">
        <v>Julio</v>
      </c>
    </row>
    <row r="503">
      <c r="A503" t="str">
        <v>Egreso</v>
      </c>
      <c r="B503">
        <v>46204</v>
      </c>
      <c r="C503" t="str">
        <v>Servicio</v>
      </c>
      <c r="D503" t="str">
        <v>Gas</v>
      </c>
      <c r="E503">
        <v>48.5</v>
      </c>
      <c r="F503" t="str">
        <v>Interbank Amex</v>
      </c>
      <c r="G503" t="str">
        <v>Julio</v>
      </c>
    </row>
    <row r="504">
      <c r="A504" t="str">
        <v>Egreso</v>
      </c>
      <c r="B504">
        <v>46204</v>
      </c>
      <c r="C504" t="str">
        <v>Deuda</v>
      </c>
      <c r="D504" t="str">
        <v>Prestamo Yape</v>
      </c>
      <c r="E504">
        <v>116.85</v>
      </c>
      <c r="F504" t="str">
        <v>Interbank</v>
      </c>
      <c r="G504" t="str">
        <v>Julio</v>
      </c>
    </row>
    <row r="505">
      <c r="A505" t="str">
        <v>Egreso</v>
      </c>
      <c r="B505">
        <v>46204</v>
      </c>
      <c r="C505" t="str">
        <v>Servicio</v>
      </c>
      <c r="D505" t="str">
        <v>Agua + Mantenimiento</v>
      </c>
      <c r="E505">
        <v>160</v>
      </c>
      <c r="F505" t="str">
        <v>Interbank</v>
      </c>
      <c r="G505" t="str">
        <v>Julio</v>
      </c>
    </row>
    <row r="506">
      <c r="A506" t="str">
        <v>Egreso</v>
      </c>
      <c r="B506">
        <v>46204</v>
      </c>
      <c r="C506" t="str">
        <v>Gasto</v>
      </c>
      <c r="D506" t="str">
        <v>iPhone 16</v>
      </c>
      <c r="E506">
        <v>245.75</v>
      </c>
      <c r="F506" t="str">
        <v>Interbank</v>
      </c>
      <c r="G506" t="str">
        <v>Julio</v>
      </c>
    </row>
    <row r="507">
      <c r="A507" t="str">
        <v>Egreso</v>
      </c>
      <c r="B507">
        <v>46204</v>
      </c>
      <c r="C507" t="str">
        <v>Gasto</v>
      </c>
      <c r="D507" t="str">
        <v>Broaster</v>
      </c>
      <c r="E507">
        <v>12</v>
      </c>
      <c r="F507" t="str">
        <v>Interbank</v>
      </c>
      <c r="G507" t="str">
        <v>Julio</v>
      </c>
    </row>
    <row r="508">
      <c r="A508" t="str">
        <v>Egreso</v>
      </c>
      <c r="B508">
        <v>46204</v>
      </c>
      <c r="C508" t="str">
        <v>Gasto</v>
      </c>
      <c r="D508" t="str">
        <v>Bus</v>
      </c>
      <c r="E508">
        <v>4</v>
      </c>
      <c r="F508" t="str">
        <v>Interbank</v>
      </c>
      <c r="G508" t="str">
        <v>Julio</v>
      </c>
    </row>
    <row r="509">
      <c r="A509" t="str">
        <v>Egreso</v>
      </c>
      <c r="B509">
        <v>46204</v>
      </c>
      <c r="C509" t="str">
        <v>Gasto</v>
      </c>
      <c r="D509" t="str">
        <v>Cine</v>
      </c>
      <c r="E509">
        <v>47</v>
      </c>
      <c r="F509" t="str">
        <v>Interbank Amex</v>
      </c>
      <c r="G509" t="str">
        <v>Julio</v>
      </c>
    </row>
    <row r="510">
      <c r="A510" t="str">
        <v>Egreso</v>
      </c>
      <c r="B510">
        <v>46204</v>
      </c>
      <c r="C510" t="str">
        <v>Gasto</v>
      </c>
      <c r="D510" t="str">
        <v>Pollo a la Brasa</v>
      </c>
      <c r="E510">
        <v>58.5</v>
      </c>
      <c r="F510" t="str">
        <v>Interbank Amex</v>
      </c>
      <c r="G510" t="str">
        <v>Julio</v>
      </c>
    </row>
    <row r="511">
      <c r="A511" t="str">
        <v>Egreso</v>
      </c>
      <c r="B511">
        <v>46204</v>
      </c>
      <c r="C511" t="str">
        <v>Gasto</v>
      </c>
      <c r="D511" t="str">
        <v>Coptel</v>
      </c>
      <c r="E511">
        <v>50</v>
      </c>
      <c r="F511" t="str">
        <v>Interbank Amex</v>
      </c>
      <c r="G511" t="str">
        <v>Julio</v>
      </c>
    </row>
    <row r="512">
      <c r="A512" t="str">
        <v>Egreso</v>
      </c>
      <c r="B512">
        <v>46204</v>
      </c>
      <c r="C512" t="str">
        <v>Gasto</v>
      </c>
      <c r="D512" t="str">
        <v>Bus</v>
      </c>
      <c r="E512">
        <v>8</v>
      </c>
      <c r="F512" t="str">
        <v>Interbank</v>
      </c>
      <c r="G512" t="str">
        <v>Julio</v>
      </c>
    </row>
    <row r="513">
      <c r="A513" t="str">
        <v>Egreso</v>
      </c>
      <c r="B513">
        <v>46204</v>
      </c>
      <c r="C513" t="str">
        <v>Gasto</v>
      </c>
      <c r="D513" t="str">
        <v>Broaster</v>
      </c>
      <c r="E513">
        <v>10</v>
      </c>
      <c r="F513" t="str">
        <v>Interbank</v>
      </c>
      <c r="G513" t="str">
        <v>Julio</v>
      </c>
    </row>
    <row r="514">
      <c r="A514" t="str">
        <v>Egreso</v>
      </c>
      <c r="B514">
        <v>46204</v>
      </c>
      <c r="C514" t="str">
        <v>Gasto</v>
      </c>
      <c r="D514" t="str">
        <v>Detergente</v>
      </c>
      <c r="E514">
        <v>5.2</v>
      </c>
      <c r="F514" t="str">
        <v>Interbank Amex</v>
      </c>
      <c r="G514" t="str">
        <v>Julio</v>
      </c>
    </row>
    <row r="515">
      <c r="A515" t="str">
        <v>Egreso</v>
      </c>
      <c r="B515">
        <v>46204</v>
      </c>
      <c r="C515" t="str">
        <v>Gasto</v>
      </c>
      <c r="D515" t="str">
        <v>Papel Higiénico</v>
      </c>
      <c r="E515">
        <v>5.2</v>
      </c>
      <c r="F515" t="str">
        <v>Interbank Amex</v>
      </c>
      <c r="G515" t="str">
        <v>Julio</v>
      </c>
    </row>
    <row r="516">
      <c r="A516" t="str">
        <v>Egreso</v>
      </c>
      <c r="B516">
        <v>46204</v>
      </c>
      <c r="C516" t="str">
        <v>Gasto</v>
      </c>
      <c r="D516" t="str">
        <v>Pasta Dental</v>
      </c>
      <c r="E516">
        <v>5.2</v>
      </c>
      <c r="F516" t="str">
        <v>Interbank Amex</v>
      </c>
      <c r="G516" t="str">
        <v>Julio</v>
      </c>
    </row>
    <row r="517">
      <c r="A517" t="str">
        <v>Egreso</v>
      </c>
      <c r="B517">
        <v>46204</v>
      </c>
      <c r="C517" t="str">
        <v>Gasto</v>
      </c>
      <c r="D517" t="str">
        <v>Broaster</v>
      </c>
      <c r="E517">
        <v>12</v>
      </c>
      <c r="F517" t="str">
        <v>Interbank</v>
      </c>
      <c r="G517" t="str">
        <v>Julio</v>
      </c>
    </row>
    <row r="518">
      <c r="A518" t="str">
        <v>Egreso</v>
      </c>
      <c r="B518">
        <v>46204</v>
      </c>
      <c r="C518" t="str">
        <v>Gasto</v>
      </c>
      <c r="D518" t="str">
        <v>Bus</v>
      </c>
      <c r="E518">
        <v>6</v>
      </c>
      <c r="F518" t="str">
        <v>Interbank</v>
      </c>
      <c r="G518" t="str">
        <v>Julio</v>
      </c>
    </row>
    <row r="519">
      <c r="A519" t="str">
        <v>Egreso</v>
      </c>
      <c r="B519">
        <v>46204</v>
      </c>
      <c r="C519" t="str">
        <v>Gasto</v>
      </c>
      <c r="D519" t="str">
        <v>Café</v>
      </c>
      <c r="E519">
        <v>18</v>
      </c>
      <c r="F519" t="str">
        <v>Interbank Amex</v>
      </c>
      <c r="G519" t="str">
        <v>Julio</v>
      </c>
    </row>
    <row r="520">
      <c r="A520" t="str">
        <v>Egreso</v>
      </c>
      <c r="B520">
        <v>46204</v>
      </c>
      <c r="C520" t="str">
        <v>Gasto</v>
      </c>
      <c r="D520" t="str">
        <v>Carol</v>
      </c>
      <c r="E520">
        <v>30</v>
      </c>
      <c r="F520" t="str">
        <v>Interbank</v>
      </c>
      <c r="G520" t="str">
        <v>Julio</v>
      </c>
    </row>
    <row r="521">
      <c r="A521" t="str">
        <v>Egreso</v>
      </c>
      <c r="B521">
        <v>46204</v>
      </c>
      <c r="C521" t="str">
        <v>Gasto</v>
      </c>
      <c r="D521" t="str">
        <v>Carol</v>
      </c>
      <c r="E521">
        <v>60</v>
      </c>
      <c r="F521" t="str">
        <v>Interbank Amex</v>
      </c>
      <c r="G521" t="str">
        <v>Julio</v>
      </c>
    </row>
    <row r="522">
      <c r="A522" t="str">
        <v>Egreso</v>
      </c>
      <c r="B522">
        <v>46204</v>
      </c>
      <c r="C522" t="str">
        <v>Servicio</v>
      </c>
      <c r="D522" t="str">
        <v>Spotify</v>
      </c>
      <c r="E522">
        <v>11.9</v>
      </c>
      <c r="F522" t="str">
        <v>Interbank Amex</v>
      </c>
      <c r="G522" t="str">
        <v>Julio</v>
      </c>
    </row>
    <row r="523">
      <c r="A523" t="str">
        <v>Egreso</v>
      </c>
      <c r="B523">
        <v>46204</v>
      </c>
      <c r="C523" t="str">
        <v>Gasto</v>
      </c>
      <c r="D523" t="str">
        <v>Bus</v>
      </c>
      <c r="E523">
        <v>8</v>
      </c>
      <c r="F523" t="str">
        <v>Interbank</v>
      </c>
      <c r="G523" t="str">
        <v>Julio</v>
      </c>
    </row>
    <row r="524">
      <c r="A524" t="str">
        <v>Egreso</v>
      </c>
      <c r="B524">
        <v>46204</v>
      </c>
      <c r="C524" t="str">
        <v>Gasto</v>
      </c>
      <c r="D524" t="str">
        <v>Carol</v>
      </c>
      <c r="E524">
        <v>39</v>
      </c>
      <c r="F524" t="str">
        <v>Ripley</v>
      </c>
      <c r="G524" t="str">
        <v>Julio</v>
      </c>
    </row>
    <row r="525">
      <c r="A525" t="str">
        <v>Ingreso</v>
      </c>
      <c r="B525">
        <v>46205</v>
      </c>
      <c r="C525" t="str">
        <v>Tarjeta</v>
      </c>
      <c r="D525" t="str">
        <v>Linea Tarjeta</v>
      </c>
      <c r="E525">
        <v>700</v>
      </c>
      <c r="F525" t="str">
        <v>BBVA Bfree</v>
      </c>
      <c r="G525" t="str">
        <v>Julio</v>
      </c>
    </row>
    <row r="526">
      <c r="A526" t="str">
        <v>Egreso</v>
      </c>
      <c r="B526">
        <v>46205</v>
      </c>
      <c r="C526" t="str">
        <v>Gasto</v>
      </c>
      <c r="D526" t="str">
        <v>Apuestas</v>
      </c>
      <c r="E526">
        <v>30</v>
      </c>
      <c r="F526" t="str">
        <v>Interbank</v>
      </c>
      <c r="G526" t="str">
        <v>Julio</v>
      </c>
    </row>
    <row r="527">
      <c r="A527" t="str">
        <v>Egreso</v>
      </c>
      <c r="B527">
        <v>46206</v>
      </c>
      <c r="C527" t="str">
        <v>Gasto</v>
      </c>
      <c r="D527" t="str">
        <v>Seguro Rimac</v>
      </c>
      <c r="E527">
        <v>178.99</v>
      </c>
      <c r="F527" t="str">
        <v>BBVA Bfree</v>
      </c>
      <c r="G527" t="str">
        <v>Julio</v>
      </c>
    </row>
    <row r="528">
      <c r="A528" t="str">
        <v>Egreso</v>
      </c>
      <c r="B528">
        <v>46207</v>
      </c>
      <c r="C528" t="str">
        <v>Gasto</v>
      </c>
      <c r="D528" t="str">
        <v>Taxi</v>
      </c>
      <c r="E528">
        <v>15.5</v>
      </c>
      <c r="F528" t="str">
        <v>Interbank</v>
      </c>
      <c r="G528" t="str">
        <v>Julio</v>
      </c>
    </row>
    <row r="529">
      <c r="A529" t="str">
        <v>Egreso</v>
      </c>
      <c r="B529">
        <v>46207</v>
      </c>
      <c r="C529" t="str">
        <v>Gasto</v>
      </c>
      <c r="D529" t="str">
        <v>Desvagramen</v>
      </c>
      <c r="E529">
        <v>15.9</v>
      </c>
      <c r="F529" t="str">
        <v>Ripley</v>
      </c>
      <c r="G529" t="str">
        <v>Julio</v>
      </c>
    </row>
    <row r="530">
      <c r="A530" t="str">
        <v>Egreso</v>
      </c>
      <c r="B530">
        <v>46207</v>
      </c>
      <c r="C530" t="str">
        <v>Gasto</v>
      </c>
      <c r="D530" t="str">
        <v>Carol</v>
      </c>
      <c r="E530">
        <v>45.9</v>
      </c>
      <c r="F530" t="str">
        <v>Ripley</v>
      </c>
      <c r="G530" t="str">
        <v>Julio</v>
      </c>
    </row>
    <row r="531">
      <c r="A531" t="str">
        <v>Egreso</v>
      </c>
      <c r="B531">
        <v>46207</v>
      </c>
      <c r="C531" t="str">
        <v>Gasto</v>
      </c>
      <c r="D531" t="str">
        <v>Carol</v>
      </c>
      <c r="E531">
        <v>65</v>
      </c>
      <c r="F531" t="str">
        <v>Ripley</v>
      </c>
      <c r="G531" t="str">
        <v>Julio</v>
      </c>
    </row>
    <row r="532">
      <c r="A532" t="str">
        <v>Egreso</v>
      </c>
      <c r="B532">
        <v>46207</v>
      </c>
      <c r="C532" t="str">
        <v>Gasto</v>
      </c>
      <c r="D532" t="str">
        <v>Carol</v>
      </c>
      <c r="E532">
        <v>34</v>
      </c>
      <c r="F532" t="str">
        <v>Ripley</v>
      </c>
      <c r="G532" t="str">
        <v>Julio</v>
      </c>
    </row>
    <row r="533">
      <c r="A533" t="str">
        <v>Egreso</v>
      </c>
      <c r="B533">
        <v>46207</v>
      </c>
      <c r="C533" t="str">
        <v>Gasto</v>
      </c>
      <c r="D533" t="str">
        <v>Condones</v>
      </c>
      <c r="E533">
        <v>20</v>
      </c>
      <c r="F533" t="str">
        <v>Ripley</v>
      </c>
      <c r="G533" t="str">
        <v>Julio</v>
      </c>
    </row>
    <row r="534">
      <c r="A534" t="str">
        <v>Egreso</v>
      </c>
      <c r="B534">
        <v>46209</v>
      </c>
      <c r="C534" t="str">
        <v>Gasto</v>
      </c>
      <c r="D534" t="str">
        <v>Madre</v>
      </c>
      <c r="E534">
        <v>6</v>
      </c>
      <c r="F534" t="str">
        <v>Interbank</v>
      </c>
      <c r="G534" t="str">
        <v>Julio</v>
      </c>
    </row>
    <row r="535">
      <c r="A535" t="str">
        <v>Egreso</v>
      </c>
      <c r="B535">
        <v>46209</v>
      </c>
      <c r="C535" t="str">
        <v>Gasto</v>
      </c>
      <c r="D535" t="str">
        <v>Carol</v>
      </c>
      <c r="E535">
        <v>23</v>
      </c>
      <c r="F535" t="str">
        <v>Interbank</v>
      </c>
      <c r="G535" t="str">
        <v>Julio</v>
      </c>
    </row>
    <row r="536">
      <c r="A536" t="str">
        <v>Egreso</v>
      </c>
      <c r="B536">
        <v>46209</v>
      </c>
      <c r="C536" t="str">
        <v>Gasto</v>
      </c>
      <c r="D536" t="str">
        <v>Taxi</v>
      </c>
      <c r="E536">
        <v>11</v>
      </c>
      <c r="F536" t="str">
        <v>Interbank</v>
      </c>
      <c r="G536" t="str">
        <v>Julio</v>
      </c>
    </row>
    <row r="537">
      <c r="A537" t="str">
        <v>Egreso</v>
      </c>
      <c r="B537">
        <v>46209</v>
      </c>
      <c r="C537" t="str">
        <v>Gasto</v>
      </c>
      <c r="D537" t="str">
        <v>Apuestas</v>
      </c>
      <c r="E537">
        <v>30</v>
      </c>
      <c r="F537" t="str">
        <v>Interbank</v>
      </c>
      <c r="G537" t="str">
        <v>Julio</v>
      </c>
    </row>
    <row r="538">
      <c r="A538" t="str">
        <v>Egreso</v>
      </c>
      <c r="B538">
        <v>46209</v>
      </c>
      <c r="C538" t="str">
        <v>Gasto</v>
      </c>
      <c r="D538" t="str">
        <v>Padre</v>
      </c>
      <c r="E538">
        <v>10</v>
      </c>
      <c r="F538" t="str">
        <v>Interbank</v>
      </c>
      <c r="G538" t="str">
        <v>Julio</v>
      </c>
    </row>
    <row r="539">
      <c r="A539" t="str">
        <v>Egreso</v>
      </c>
      <c r="B539">
        <v>46210</v>
      </c>
      <c r="C539" t="str">
        <v>Gasto</v>
      </c>
      <c r="D539" t="str">
        <v>Detergente</v>
      </c>
      <c r="E539">
        <v>0.43</v>
      </c>
      <c r="F539" t="str">
        <v>Interbank</v>
      </c>
      <c r="G539" t="str">
        <v>Julio</v>
      </c>
    </row>
    <row r="540">
      <c r="A540" t="str">
        <v>Egreso</v>
      </c>
      <c r="B540">
        <v>46210</v>
      </c>
      <c r="C540" t="str">
        <v>Gasto</v>
      </c>
      <c r="D540" t="str">
        <v>Papel Higiénico</v>
      </c>
      <c r="E540">
        <v>0.43</v>
      </c>
      <c r="F540" t="str">
        <v>Interbank</v>
      </c>
      <c r="G540" t="str">
        <v>Julio</v>
      </c>
    </row>
    <row r="541">
      <c r="A541" t="str">
        <v>Egreso</v>
      </c>
      <c r="B541">
        <v>46210</v>
      </c>
      <c r="C541" t="str">
        <v>Gasto</v>
      </c>
      <c r="D541" t="str">
        <v>Pasta Dental</v>
      </c>
      <c r="E541">
        <v>0.44</v>
      </c>
      <c r="F541" t="str">
        <v>Interbank</v>
      </c>
      <c r="G541" t="str">
        <v>Julio</v>
      </c>
    </row>
    <row r="542">
      <c r="A542" t="str">
        <v>Egreso</v>
      </c>
      <c r="B542">
        <v>46210</v>
      </c>
      <c r="C542" t="str">
        <v>Gasto</v>
      </c>
      <c r="D542" t="str">
        <v>Bus</v>
      </c>
      <c r="E542">
        <v>2.5</v>
      </c>
      <c r="F542" t="str">
        <v>Interbank</v>
      </c>
      <c r="G542" t="str">
        <v>Julio</v>
      </c>
    </row>
    <row r="543">
      <c r="A543" t="str">
        <v>Egreso</v>
      </c>
      <c r="B543">
        <v>46211</v>
      </c>
      <c r="C543" t="str">
        <v>Gasto</v>
      </c>
      <c r="D543" t="str">
        <v>Broaster</v>
      </c>
      <c r="E543">
        <v>13</v>
      </c>
      <c r="F543" t="str">
        <v>Interbank</v>
      </c>
      <c r="G543" t="str">
        <v>Julio</v>
      </c>
    </row>
    <row r="544">
      <c r="A544" t="str">
        <v>Egreso</v>
      </c>
      <c r="B544">
        <v>46213</v>
      </c>
      <c r="C544" t="str">
        <v>Gasto</v>
      </c>
      <c r="D544" t="str">
        <v>Carol</v>
      </c>
      <c r="E544">
        <v>20</v>
      </c>
      <c r="F544" t="str">
        <v>Interbank</v>
      </c>
      <c r="G544" t="str">
        <v>Julio</v>
      </c>
    </row>
    <row r="545">
      <c r="A545" t="str">
        <v>Ingreso</v>
      </c>
      <c r="B545">
        <v>46213</v>
      </c>
      <c r="C545" t="str">
        <v>Sueldo</v>
      </c>
      <c r="D545" t="str">
        <v>Gratificación</v>
      </c>
      <c r="E545">
        <v>2721.6</v>
      </c>
      <c r="F545" t="str">
        <v>Interbank</v>
      </c>
      <c r="G545" t="str">
        <v>Julio</v>
      </c>
    </row>
    <row r="546">
      <c r="A546" t="str">
        <v>Egreso</v>
      </c>
      <c r="B546">
        <v>46213</v>
      </c>
      <c r="C546" t="str">
        <v>Gasto</v>
      </c>
      <c r="D546" t="str">
        <v>Viaje Brasil</v>
      </c>
      <c r="E546">
        <v>2084.8</v>
      </c>
      <c r="F546" t="str">
        <v>Interbank</v>
      </c>
      <c r="G546" t="str">
        <v>Julio</v>
      </c>
    </row>
    <row r="547">
      <c r="A547" t="str">
        <v>Egreso</v>
      </c>
      <c r="B547">
        <v>46213</v>
      </c>
      <c r="C547" t="str">
        <v>Otro Egre</v>
      </c>
      <c r="D547" t="str">
        <v>Titulación</v>
      </c>
      <c r="E547">
        <v>160</v>
      </c>
      <c r="F547" t="str">
        <v>Interbank</v>
      </c>
      <c r="G547" t="str">
        <v>Julio</v>
      </c>
    </row>
    <row r="548">
      <c r="A548" t="str">
        <v>Egreso</v>
      </c>
      <c r="B548">
        <v>46213</v>
      </c>
      <c r="C548" t="str">
        <v>Gasto</v>
      </c>
      <c r="D548" t="str">
        <v>Desvagramen</v>
      </c>
      <c r="E548">
        <v>0.61</v>
      </c>
      <c r="F548" t="str">
        <v>BBVA Bfree</v>
      </c>
      <c r="G548" t="str">
        <v>Julio</v>
      </c>
    </row>
    <row r="549">
      <c r="A549" t="str">
        <v>Egreso</v>
      </c>
      <c r="B549">
        <v>46214</v>
      </c>
      <c r="C549" t="str">
        <v>Gasto</v>
      </c>
      <c r="D549" t="str">
        <v>Taxi</v>
      </c>
      <c r="E549">
        <v>34.5</v>
      </c>
      <c r="F549" t="str">
        <v>Interbank</v>
      </c>
      <c r="G549" t="str">
        <v>Julio</v>
      </c>
    </row>
    <row r="550">
      <c r="A550" t="str">
        <v>Egreso</v>
      </c>
      <c r="B550">
        <v>46214</v>
      </c>
      <c r="C550" t="str">
        <v>Gasto</v>
      </c>
      <c r="D550" t="str">
        <v>Alcohol</v>
      </c>
      <c r="E550">
        <v>12</v>
      </c>
      <c r="F550" t="str">
        <v>Interbank</v>
      </c>
      <c r="G550" t="str">
        <v>Julio</v>
      </c>
    </row>
    <row r="551">
      <c r="A551" t="str">
        <v>Egreso</v>
      </c>
      <c r="B551">
        <v>46214</v>
      </c>
      <c r="C551" t="str">
        <v>Gasto</v>
      </c>
      <c r="D551" t="str">
        <v>Carol</v>
      </c>
      <c r="E551">
        <v>38</v>
      </c>
      <c r="F551" t="str">
        <v>Interbank</v>
      </c>
      <c r="G551" t="str">
        <v>Julio</v>
      </c>
    </row>
    <row r="552">
      <c r="A552" t="str">
        <v>Egreso</v>
      </c>
      <c r="B552">
        <v>46214</v>
      </c>
      <c r="C552" t="str">
        <v>Gasto</v>
      </c>
      <c r="D552" t="str">
        <v>Crema de Manos</v>
      </c>
      <c r="E552">
        <v>49.5</v>
      </c>
      <c r="F552" t="str">
        <v>Interbank</v>
      </c>
      <c r="G552" t="str">
        <v>Julio</v>
      </c>
    </row>
    <row r="553">
      <c r="A553" t="str">
        <v>Egreso</v>
      </c>
      <c r="B553">
        <v>46214</v>
      </c>
      <c r="C553" t="str">
        <v>Gasto</v>
      </c>
      <c r="D553" t="str">
        <v>Café</v>
      </c>
      <c r="E553">
        <v>16</v>
      </c>
      <c r="F553" t="str">
        <v>Interbank Amex</v>
      </c>
      <c r="G553" t="str">
        <v>Julio</v>
      </c>
    </row>
    <row r="554">
      <c r="A554" t="str">
        <v>Egreso</v>
      </c>
      <c r="B554">
        <v>46214</v>
      </c>
      <c r="C554" t="str">
        <v>Gasto</v>
      </c>
      <c r="D554" t="str">
        <v>Dollarcity</v>
      </c>
      <c r="E554">
        <v>3</v>
      </c>
      <c r="F554" t="str">
        <v>BBVA Bfree</v>
      </c>
      <c r="G554" t="str">
        <v>Julio</v>
      </c>
    </row>
    <row r="555">
      <c r="A555" t="str">
        <v>Egreso</v>
      </c>
      <c r="B555">
        <v>46214</v>
      </c>
      <c r="C555" t="str">
        <v>Gasto</v>
      </c>
      <c r="D555" t="str">
        <v>Pizza</v>
      </c>
      <c r="E555">
        <v>56</v>
      </c>
      <c r="F555" t="str">
        <v>BBVA Bfree</v>
      </c>
      <c r="G555" t="str">
        <v>Julio</v>
      </c>
    </row>
    <row r="556">
      <c r="A556" t="str">
        <v>Egreso</v>
      </c>
      <c r="B556">
        <v>46215</v>
      </c>
      <c r="C556" t="str">
        <v>Gasto</v>
      </c>
      <c r="D556" t="str">
        <v>Broaster</v>
      </c>
      <c r="E556">
        <v>15</v>
      </c>
      <c r="F556" t="str">
        <v>Interbank</v>
      </c>
      <c r="G556" t="str">
        <v>Julio</v>
      </c>
    </row>
    <row r="557">
      <c r="A557" t="str">
        <v>Egreso</v>
      </c>
      <c r="B557">
        <v>46218</v>
      </c>
      <c r="C557" t="str">
        <v>Deuda</v>
      </c>
      <c r="D557" t="str">
        <v>Prestamo BCP</v>
      </c>
      <c r="E557">
        <v>143.16</v>
      </c>
      <c r="F557" t="str">
        <v>Interbank</v>
      </c>
      <c r="G557" t="str">
        <v>Julio</v>
      </c>
    </row>
    <row r="558">
      <c r="A558" t="str">
        <v>Egreso</v>
      </c>
      <c r="B558">
        <v>46218</v>
      </c>
      <c r="C558" t="str">
        <v>Gasto</v>
      </c>
      <c r="D558" t="str">
        <v>Concierto Trueno</v>
      </c>
      <c r="E558">
        <v>132</v>
      </c>
      <c r="F558" t="str">
        <v>Interbank</v>
      </c>
      <c r="G558" t="str">
        <v>Julio</v>
      </c>
    </row>
    <row r="559">
      <c r="A559" t="str">
        <v>Egreso</v>
      </c>
      <c r="B559">
        <v>46218</v>
      </c>
      <c r="C559" t="str">
        <v>Gasto</v>
      </c>
      <c r="D559" t="str">
        <v>Taxi</v>
      </c>
      <c r="E559">
        <v>17.5</v>
      </c>
      <c r="F559" t="str">
        <v>Interbank</v>
      </c>
      <c r="G559" t="str">
        <v>Julio</v>
      </c>
    </row>
    <row r="560">
      <c r="A560" t="str">
        <v>Egreso</v>
      </c>
      <c r="B560">
        <v>46218</v>
      </c>
      <c r="C560" t="str">
        <v>Gasto</v>
      </c>
      <c r="D560" t="str">
        <v>Café</v>
      </c>
      <c r="E560">
        <v>20</v>
      </c>
      <c r="F560" t="str">
        <v>BBVA Bfree</v>
      </c>
      <c r="G560" t="str">
        <v>Julio</v>
      </c>
    </row>
    <row r="561">
      <c r="A561" t="str">
        <v>Egreso</v>
      </c>
      <c r="B561">
        <v>46218</v>
      </c>
      <c r="C561" t="str">
        <v>Gasto</v>
      </c>
      <c r="D561" t="str">
        <v>Makis</v>
      </c>
      <c r="E561">
        <v>96</v>
      </c>
      <c r="F561" t="str">
        <v>BBVA Bfree</v>
      </c>
      <c r="G561" t="str">
        <v>Julio</v>
      </c>
    </row>
    <row r="562">
      <c r="A562" t="str">
        <v>Egreso</v>
      </c>
      <c r="B562">
        <v>46218</v>
      </c>
      <c r="C562" t="str">
        <v>Gasto</v>
      </c>
      <c r="D562" t="str">
        <v>Carol</v>
      </c>
      <c r="E562">
        <v>16</v>
      </c>
      <c r="F562" t="str">
        <v>BBVA Bfree</v>
      </c>
      <c r="G562" t="str">
        <v>Julio</v>
      </c>
    </row>
    <row r="563">
      <c r="A563" t="str">
        <v>Egreso</v>
      </c>
      <c r="B563">
        <v>46220</v>
      </c>
      <c r="C563" t="str">
        <v>Gasto</v>
      </c>
      <c r="D563" t="str">
        <v>Taxi</v>
      </c>
      <c r="E563">
        <v>11.5</v>
      </c>
      <c r="F563" t="str">
        <v>Interbank</v>
      </c>
      <c r="G563" t="str">
        <v>Julio</v>
      </c>
    </row>
    <row r="564">
      <c r="A564" t="str">
        <v>Egreso</v>
      </c>
      <c r="B564">
        <v>46220</v>
      </c>
      <c r="C564" t="str">
        <v>Gasto</v>
      </c>
      <c r="D564" t="str">
        <v>Carol</v>
      </c>
      <c r="E564">
        <v>15</v>
      </c>
      <c r="F564" t="str">
        <v>Interbank</v>
      </c>
      <c r="G564" t="str">
        <v>Julio</v>
      </c>
    </row>
    <row r="565">
      <c r="A565" t="str">
        <v>Egreso</v>
      </c>
      <c r="B565">
        <v>46221</v>
      </c>
      <c r="C565" t="str">
        <v>Gasto</v>
      </c>
      <c r="D565" t="str">
        <v>Taxi</v>
      </c>
      <c r="E565">
        <v>55</v>
      </c>
      <c r="F565" t="str">
        <v>Interbank</v>
      </c>
      <c r="G565" t="str">
        <v>Julio</v>
      </c>
    </row>
    <row r="566">
      <c r="A566" t="str">
        <v>Egreso</v>
      </c>
      <c r="B566">
        <v>46221</v>
      </c>
      <c r="C566" t="str">
        <v>Gasto</v>
      </c>
      <c r="D566" t="str">
        <v>Shawarma</v>
      </c>
      <c r="E566">
        <v>12</v>
      </c>
      <c r="F566" t="str">
        <v>Interbank</v>
      </c>
      <c r="G566" t="str">
        <v>Julio</v>
      </c>
    </row>
    <row r="567">
      <c r="A567" t="str">
        <v>Egreso</v>
      </c>
      <c r="B567">
        <v>46221</v>
      </c>
      <c r="C567" t="str">
        <v>Gasto</v>
      </c>
      <c r="D567" t="str">
        <v>Makis</v>
      </c>
      <c r="E567">
        <v>74.72</v>
      </c>
      <c r="F567" t="str">
        <v>Interbank Amex</v>
      </c>
      <c r="G567" t="str">
        <v>Julio</v>
      </c>
    </row>
    <row r="568">
      <c r="A568" t="str">
        <v>Egreso</v>
      </c>
      <c r="B568">
        <v>46222</v>
      </c>
      <c r="C568" t="str">
        <v>Gasto</v>
      </c>
      <c r="D568" t="str">
        <v>Ceviche</v>
      </c>
      <c r="E568">
        <v>11</v>
      </c>
      <c r="F568" t="str">
        <v>Interbank</v>
      </c>
      <c r="G568" t="str">
        <v>Julio</v>
      </c>
    </row>
    <row r="569">
      <c r="A569" t="str">
        <v>Egreso</v>
      </c>
      <c r="B569">
        <v>46222</v>
      </c>
      <c r="C569" t="str">
        <v>Gasto</v>
      </c>
      <c r="D569" t="str">
        <v>Bus</v>
      </c>
      <c r="E569">
        <v>8</v>
      </c>
      <c r="F569" t="str">
        <v>Interbank</v>
      </c>
      <c r="G569" t="str">
        <v>Julio</v>
      </c>
    </row>
    <row r="570">
      <c r="A570" t="str">
        <v>Egreso</v>
      </c>
      <c r="B570">
        <v>46222</v>
      </c>
      <c r="C570" t="str">
        <v>Gasto</v>
      </c>
      <c r="D570" t="str">
        <v>In Game</v>
      </c>
      <c r="E570">
        <v>14</v>
      </c>
      <c r="F570" t="str">
        <v>BBVA Bfree</v>
      </c>
      <c r="G570" t="str">
        <v>Julio</v>
      </c>
    </row>
    <row r="571">
      <c r="A571" t="str">
        <v>Egreso</v>
      </c>
      <c r="B571">
        <v>46222</v>
      </c>
      <c r="C571" t="str">
        <v>Gasto</v>
      </c>
      <c r="D571" t="str">
        <v>Broaster</v>
      </c>
      <c r="E571">
        <v>30</v>
      </c>
      <c r="F571" t="str">
        <v>BBVA Bfree</v>
      </c>
      <c r="G571" t="str">
        <v>Julio</v>
      </c>
    </row>
    <row r="572">
      <c r="A572" t="str">
        <v>Egreso</v>
      </c>
      <c r="B572">
        <v>46223</v>
      </c>
      <c r="C572" t="str">
        <v>Gasto</v>
      </c>
      <c r="D572" t="str">
        <v>Bus</v>
      </c>
      <c r="E572">
        <v>9.5</v>
      </c>
      <c r="F572" t="str">
        <v>Interbank</v>
      </c>
      <c r="G572" t="str">
        <v>Julio</v>
      </c>
    </row>
    <row r="573">
      <c r="A573" t="str">
        <v>Egreso</v>
      </c>
      <c r="B573">
        <v>46223</v>
      </c>
      <c r="C573" t="str">
        <v>Gasto</v>
      </c>
      <c r="D573" t="str">
        <v>Minecraft</v>
      </c>
      <c r="E573">
        <v>3.5</v>
      </c>
      <c r="F573" t="str">
        <v>Interbank</v>
      </c>
      <c r="G573" t="str">
        <v>Julio</v>
      </c>
    </row>
    <row r="574">
      <c r="A574" t="str">
        <v>Egreso</v>
      </c>
      <c r="B574">
        <v>46223</v>
      </c>
      <c r="C574" t="str">
        <v>Servicio</v>
      </c>
      <c r="D574" t="str">
        <v>Telefonia Movil</v>
      </c>
      <c r="E574">
        <v>39.9</v>
      </c>
      <c r="F574" t="str">
        <v>Interbank Amex</v>
      </c>
      <c r="G574" t="str">
        <v>Julio</v>
      </c>
    </row>
    <row r="575">
      <c r="A575" t="str">
        <v>Egreso</v>
      </c>
      <c r="B575">
        <v>46223</v>
      </c>
      <c r="C575" t="str">
        <v>Gasto</v>
      </c>
      <c r="D575" t="str">
        <v>Carol</v>
      </c>
      <c r="E575">
        <v>37</v>
      </c>
      <c r="F575" t="str">
        <v>BBVA Bfree</v>
      </c>
      <c r="G575" t="str">
        <v>Julio</v>
      </c>
    </row>
    <row r="576">
      <c r="A576" t="str">
        <v>Egreso</v>
      </c>
      <c r="B576">
        <v>46223</v>
      </c>
      <c r="C576" t="str">
        <v>Gasto</v>
      </c>
      <c r="D576" t="str">
        <v>Broaster</v>
      </c>
      <c r="E576">
        <v>9.97</v>
      </c>
      <c r="F576" t="str">
        <v>Interbank</v>
      </c>
      <c r="G576" t="str">
        <v>Julio</v>
      </c>
    </row>
    <row r="577">
      <c r="A577" t="str">
        <v>Egreso</v>
      </c>
      <c r="B577">
        <v>46226</v>
      </c>
      <c r="C577" t="str">
        <v>Servicio</v>
      </c>
      <c r="D577" t="str">
        <v>iCloud</v>
      </c>
      <c r="E577">
        <v>14.69</v>
      </c>
      <c r="F577" t="str">
        <v>Interbank</v>
      </c>
      <c r="G577" t="str">
        <v>Julio</v>
      </c>
    </row>
    <row r="578">
      <c r="A578" t="str">
        <v>Egreso</v>
      </c>
      <c r="B578">
        <v>46226</v>
      </c>
      <c r="C578" t="str">
        <v>Gasto</v>
      </c>
      <c r="D578" t="str">
        <v>Taxi</v>
      </c>
      <c r="E578">
        <v>18.9</v>
      </c>
      <c r="F578" t="str">
        <v>Interbank</v>
      </c>
      <c r="G578" t="str">
        <v>Julio</v>
      </c>
    </row>
    <row r="579">
      <c r="A579" t="str">
        <v>Egreso</v>
      </c>
      <c r="B579">
        <v>46226</v>
      </c>
      <c r="C579" t="str">
        <v>Servicio</v>
      </c>
      <c r="D579" t="str">
        <v>Agua Mineral</v>
      </c>
      <c r="E579">
        <v>1.8</v>
      </c>
      <c r="F579" t="str">
        <v>Interbank</v>
      </c>
      <c r="G579" t="str">
        <v>Julio</v>
      </c>
    </row>
    <row r="580">
      <c r="A580" t="str">
        <v>Egreso</v>
      </c>
      <c r="B580">
        <v>46226</v>
      </c>
      <c r="C580" t="str">
        <v>Gasto</v>
      </c>
      <c r="D580" t="str">
        <v>Carol</v>
      </c>
      <c r="E580">
        <v>6</v>
      </c>
      <c r="F580" t="str">
        <v>Interbank</v>
      </c>
      <c r="G580" t="str">
        <v>Julio</v>
      </c>
    </row>
    <row r="581">
      <c r="A581" t="str">
        <v>Egreso</v>
      </c>
      <c r="B581">
        <v>46226</v>
      </c>
      <c r="C581" t="str">
        <v>Gasto</v>
      </c>
      <c r="D581" t="str">
        <v>Makis</v>
      </c>
      <c r="E581">
        <v>108</v>
      </c>
      <c r="F581" t="str">
        <v>Interbank Amex</v>
      </c>
      <c r="G581" t="str">
        <v>Julio</v>
      </c>
    </row>
    <row r="582">
      <c r="A582" t="str">
        <v>Egreso</v>
      </c>
      <c r="B582">
        <v>46226</v>
      </c>
      <c r="C582" t="str">
        <v>Gasto</v>
      </c>
      <c r="D582" t="str">
        <v>Carol</v>
      </c>
      <c r="E582">
        <v>9</v>
      </c>
      <c r="F582" t="str">
        <v>Interbank Amex</v>
      </c>
      <c r="G582" t="str">
        <v>Julio</v>
      </c>
    </row>
    <row r="583">
      <c r="A583" t="str">
        <v>Egreso</v>
      </c>
      <c r="B583">
        <v>46227</v>
      </c>
      <c r="C583" t="str">
        <v>Servicio</v>
      </c>
      <c r="D583" t="str">
        <v>Gaseosa</v>
      </c>
      <c r="E583">
        <v>3.5</v>
      </c>
      <c r="F583" t="str">
        <v>Interbank</v>
      </c>
      <c r="G583" t="str">
        <v>Julio</v>
      </c>
    </row>
    <row r="584">
      <c r="A584" t="str">
        <v>Egreso</v>
      </c>
      <c r="B584">
        <v>46227</v>
      </c>
      <c r="C584" t="str">
        <v>Gasto</v>
      </c>
      <c r="D584" t="str">
        <v>Futbol</v>
      </c>
      <c r="E584">
        <v>10</v>
      </c>
      <c r="F584" t="str">
        <v>Interbank</v>
      </c>
      <c r="G584" t="str">
        <v>Julio</v>
      </c>
    </row>
    <row r="585">
      <c r="A585" t="str">
        <v>Egreso</v>
      </c>
      <c r="B585">
        <v>46228</v>
      </c>
      <c r="C585" t="str">
        <v>Gasto</v>
      </c>
      <c r="D585" t="str">
        <v>Taxi</v>
      </c>
      <c r="E585">
        <v>11.9</v>
      </c>
      <c r="F585" t="str">
        <v>Interbank</v>
      </c>
      <c r="G585" t="str">
        <v>Julio</v>
      </c>
    </row>
    <row r="586">
      <c r="A586" t="str">
        <v>Egreso</v>
      </c>
      <c r="B586">
        <v>46228</v>
      </c>
      <c r="C586" t="str">
        <v>Gasto</v>
      </c>
      <c r="D586" t="str">
        <v>Taxi</v>
      </c>
      <c r="E586">
        <v>12.1</v>
      </c>
      <c r="F586" t="str">
        <v>Interbank</v>
      </c>
      <c r="G586" t="str">
        <v>Julio</v>
      </c>
    </row>
    <row r="587">
      <c r="A587" t="str">
        <v>Egreso</v>
      </c>
      <c r="B587">
        <v>46228</v>
      </c>
      <c r="C587" t="str">
        <v>Gasto</v>
      </c>
      <c r="D587" t="str">
        <v>Pollo a la Brasa</v>
      </c>
      <c r="E587">
        <v>34.5</v>
      </c>
      <c r="F587" t="str">
        <v>Interbank Amex</v>
      </c>
      <c r="G587" t="str">
        <v>Julio</v>
      </c>
    </row>
    <row r="588">
      <c r="A588" t="str">
        <v>Egreso</v>
      </c>
      <c r="B588">
        <v>46229</v>
      </c>
      <c r="C588" t="str">
        <v>Gasto</v>
      </c>
      <c r="D588" t="str">
        <v>Skin de Valorant</v>
      </c>
      <c r="E588">
        <v>31.9</v>
      </c>
      <c r="F588" t="str">
        <v>Interbank Amex</v>
      </c>
      <c r="G588" t="str">
        <v>Julio</v>
      </c>
    </row>
    <row r="589">
      <c r="A589" t="str">
        <v>Egreso</v>
      </c>
      <c r="B589">
        <v>46229</v>
      </c>
      <c r="C589" t="str">
        <v>Gasto</v>
      </c>
      <c r="D589" t="str">
        <v>Broaster</v>
      </c>
      <c r="E589">
        <v>11</v>
      </c>
      <c r="F589" t="str">
        <v>Interbank</v>
      </c>
      <c r="G589" t="str">
        <v>Julio</v>
      </c>
    </row>
    <row r="590">
      <c r="A590" t="str">
        <v>Egreso</v>
      </c>
      <c r="B590">
        <v>46230</v>
      </c>
      <c r="C590" t="str">
        <v>Gasto</v>
      </c>
      <c r="D590" t="str">
        <v>Bus</v>
      </c>
      <c r="E590">
        <v>2</v>
      </c>
      <c r="F590" t="str">
        <v>Interbank</v>
      </c>
      <c r="G590" t="str">
        <v>Julio</v>
      </c>
    </row>
    <row r="591">
      <c r="A591" t="str">
        <v>Egreso</v>
      </c>
      <c r="B591">
        <v>46230</v>
      </c>
      <c r="C591" t="str">
        <v>Gasto</v>
      </c>
      <c r="D591" t="str">
        <v>Dulce de Leche</v>
      </c>
      <c r="E591">
        <v>6</v>
      </c>
      <c r="F591" t="str">
        <v>Interbank</v>
      </c>
      <c r="G591" t="str">
        <v>Julio</v>
      </c>
    </row>
    <row r="592">
      <c r="A592" t="str">
        <v>Ingreso</v>
      </c>
      <c r="B592">
        <v>46235</v>
      </c>
      <c r="C592" t="str">
        <v>Otro Ing</v>
      </c>
      <c r="D592" t="str">
        <v>Bonificación Ahorro</v>
      </c>
      <c r="E592">
        <v>795.41</v>
      </c>
      <c r="F592" t="str">
        <v>Interbank</v>
      </c>
      <c r="G592" t="str">
        <v>Agosto</v>
      </c>
    </row>
    <row r="593">
      <c r="A593" t="str">
        <v>Ingreso</v>
      </c>
      <c r="B593">
        <v>46235</v>
      </c>
      <c r="C593" t="str">
        <v>Sueldo</v>
      </c>
      <c r="D593" t="str">
        <v>Sueldo</v>
      </c>
      <c r="E593">
        <v>2259.63</v>
      </c>
      <c r="F593" t="str">
        <v>Interbank</v>
      </c>
      <c r="G593" t="str">
        <v>Agosto</v>
      </c>
    </row>
    <row r="594">
      <c r="A594" t="str">
        <v>Ingreso</v>
      </c>
      <c r="B594">
        <v>46235</v>
      </c>
      <c r="C594" t="str">
        <v>Tarjeta</v>
      </c>
      <c r="D594" t="str">
        <v>Linea Tarjeta</v>
      </c>
      <c r="E594">
        <v>819.05</v>
      </c>
      <c r="F594" t="str">
        <v>Interbank Amex</v>
      </c>
      <c r="G594" t="str">
        <v>Agosto</v>
      </c>
    </row>
    <row r="595">
      <c r="A595" t="str">
        <v>Ingreso</v>
      </c>
      <c r="B595">
        <v>46235</v>
      </c>
      <c r="C595" t="str">
        <v>Tarjeta</v>
      </c>
      <c r="D595" t="str">
        <v>Linea Tarjeta</v>
      </c>
      <c r="E595">
        <v>308.67</v>
      </c>
      <c r="F595" t="str">
        <v>BBVA Bfree</v>
      </c>
      <c r="G595" t="str">
        <v>Agosto</v>
      </c>
    </row>
    <row r="596">
      <c r="A596" t="str">
        <v>Ingreso</v>
      </c>
      <c r="B596">
        <v>46235</v>
      </c>
      <c r="C596" t="str">
        <v>Tarjeta</v>
      </c>
      <c r="D596" t="str">
        <v>Linea Tarjeta</v>
      </c>
      <c r="E596">
        <v>835.14</v>
      </c>
      <c r="F596" t="str">
        <v>Ripley</v>
      </c>
      <c r="G596" t="str">
        <v>Agosto</v>
      </c>
    </row>
    <row r="597">
      <c r="A597" t="str">
        <v>Egreso</v>
      </c>
      <c r="B597">
        <v>46235</v>
      </c>
      <c r="C597" t="str">
        <v>Gasto</v>
      </c>
      <c r="D597" t="str">
        <v>Corte de Cabello</v>
      </c>
      <c r="E597">
        <v>20</v>
      </c>
      <c r="F597" t="str">
        <v>Interbank</v>
      </c>
      <c r="G597" t="str">
        <v>Agosto</v>
      </c>
    </row>
    <row r="598">
      <c r="A598" t="str">
        <v>Egreso</v>
      </c>
      <c r="B598">
        <v>46235</v>
      </c>
      <c r="C598" t="str">
        <v>Gasto</v>
      </c>
      <c r="D598" t="str">
        <v>iPhone 16</v>
      </c>
      <c r="E598">
        <v>245.75</v>
      </c>
      <c r="F598" t="str">
        <v>Interbank</v>
      </c>
      <c r="G598" t="str">
        <v>Agosto</v>
      </c>
    </row>
    <row r="599">
      <c r="A599" t="str">
        <v>Egreso</v>
      </c>
      <c r="B599">
        <v>46235</v>
      </c>
      <c r="C599" t="str">
        <v>Deuda</v>
      </c>
      <c r="D599" t="str">
        <v>Pago de Tarjeta Ripley</v>
      </c>
      <c r="E599">
        <v>827.76</v>
      </c>
      <c r="F599" t="str">
        <v>Interbank</v>
      </c>
      <c r="G599" t="str">
        <v>Agosto</v>
      </c>
    </row>
    <row r="600">
      <c r="A600" t="str">
        <v>Egreso</v>
      </c>
      <c r="B600">
        <v>46235</v>
      </c>
      <c r="C600" t="str">
        <v>Deuda</v>
      </c>
      <c r="D600" t="str">
        <v>Prestamo Yape</v>
      </c>
      <c r="E600">
        <v>116.85</v>
      </c>
      <c r="F600" t="str">
        <v>Interbank</v>
      </c>
      <c r="G600" t="str">
        <v>Agosto</v>
      </c>
    </row>
    <row r="601">
      <c r="A601" t="str">
        <v>Egreso</v>
      </c>
      <c r="B601">
        <v>46235</v>
      </c>
      <c r="C601" t="str">
        <v>Servicio</v>
      </c>
      <c r="D601" t="str">
        <v>Agua + Mantenimiento</v>
      </c>
      <c r="E601">
        <v>160</v>
      </c>
      <c r="F601" t="str">
        <v>Interbank</v>
      </c>
      <c r="G601" t="str">
        <v>Agosto</v>
      </c>
    </row>
    <row r="602">
      <c r="A602" t="str">
        <v>Egreso</v>
      </c>
      <c r="B602">
        <v>46235</v>
      </c>
      <c r="C602" t="str">
        <v>Deuda</v>
      </c>
      <c r="D602" t="str">
        <v>Pago de Tarjeta Interbank Amex</v>
      </c>
      <c r="E602">
        <v>731.69</v>
      </c>
      <c r="F602" t="str">
        <v>Interbank</v>
      </c>
      <c r="G602" t="str">
        <v>Agosto</v>
      </c>
    </row>
    <row r="603">
      <c r="A603" t="str">
        <v>Egreso</v>
      </c>
      <c r="B603">
        <v>46235</v>
      </c>
      <c r="C603" t="str">
        <v>Deuda</v>
      </c>
      <c r="D603" t="str">
        <v>Pago de Tarjeta BBVA Bfree</v>
      </c>
      <c r="E603">
        <v>60.27</v>
      </c>
      <c r="F603" t="str">
        <v>Interbank</v>
      </c>
      <c r="G603" t="str">
        <v>Agosto</v>
      </c>
    </row>
    <row r="604">
      <c r="A604" t="str">
        <v>Egreso</v>
      </c>
      <c r="B604">
        <v>46235</v>
      </c>
      <c r="C604" t="str">
        <v>Gasto</v>
      </c>
      <c r="D604" t="str">
        <v>Carol</v>
      </c>
      <c r="E604">
        <v>21</v>
      </c>
      <c r="F604" t="str">
        <v>Interbank Amex</v>
      </c>
      <c r="G604" t="str">
        <v>Agosto</v>
      </c>
    </row>
    <row r="605">
      <c r="A605" t="str">
        <v>Egreso</v>
      </c>
      <c r="B605">
        <v>46235</v>
      </c>
      <c r="C605" t="str">
        <v>Gasto</v>
      </c>
      <c r="D605" t="str">
        <v>Carol</v>
      </c>
      <c r="E605">
        <v>14</v>
      </c>
      <c r="F605" t="str">
        <v>Interbank Amex</v>
      </c>
      <c r="G605" t="str">
        <v>Agosto</v>
      </c>
    </row>
    <row r="606">
      <c r="A606" t="str">
        <v>Egreso</v>
      </c>
      <c r="B606">
        <v>46235</v>
      </c>
      <c r="C606" t="str">
        <v>Gasto</v>
      </c>
      <c r="D606" t="str">
        <v>Carol</v>
      </c>
      <c r="E606">
        <v>20</v>
      </c>
      <c r="F606" t="str">
        <v>Interbank Amex</v>
      </c>
      <c r="G606" t="str">
        <v>Agosto</v>
      </c>
    </row>
    <row r="607">
      <c r="A607" t="str">
        <v>Egreso</v>
      </c>
      <c r="B607">
        <v>46235</v>
      </c>
      <c r="C607" t="str">
        <v>Gasto</v>
      </c>
      <c r="D607" t="str">
        <v>Carol</v>
      </c>
      <c r="E607">
        <v>53</v>
      </c>
      <c r="F607" t="str">
        <v>Interbank Amex</v>
      </c>
      <c r="G607" t="str">
        <v>Agosto</v>
      </c>
    </row>
    <row r="608">
      <c r="A608" t="str">
        <v>Egreso</v>
      </c>
      <c r="B608">
        <v>46235</v>
      </c>
      <c r="C608" t="str">
        <v>Gasto</v>
      </c>
      <c r="D608" t="str">
        <v>Carol</v>
      </c>
      <c r="E608">
        <v>20</v>
      </c>
      <c r="F608" t="str">
        <v>Interbank</v>
      </c>
      <c r="G608" t="str">
        <v>Agosto</v>
      </c>
    </row>
    <row r="609">
      <c r="A609" t="str">
        <v>Egreso</v>
      </c>
      <c r="B609">
        <v>46235</v>
      </c>
      <c r="C609" t="str">
        <v>Gasto</v>
      </c>
      <c r="D609" t="str">
        <v>Taxi</v>
      </c>
      <c r="E609">
        <v>14</v>
      </c>
      <c r="F609" t="str">
        <v>Interbank</v>
      </c>
      <c r="G609" t="str">
        <v>Agosto</v>
      </c>
    </row>
    <row r="610">
      <c r="A610" t="str">
        <v>Egreso</v>
      </c>
      <c r="B610">
        <v>46235</v>
      </c>
      <c r="C610" t="str">
        <v>Gasto</v>
      </c>
      <c r="D610" t="str">
        <v>Detergente</v>
      </c>
      <c r="E610">
        <v>1.07</v>
      </c>
      <c r="F610" t="str">
        <v>Interbank</v>
      </c>
      <c r="G610" t="str">
        <v>Agosto</v>
      </c>
    </row>
    <row r="611">
      <c r="A611" t="str">
        <v>Egreso</v>
      </c>
      <c r="B611">
        <v>46235</v>
      </c>
      <c r="C611" t="str">
        <v>Gasto</v>
      </c>
      <c r="D611" t="str">
        <v>Papel Higiénico</v>
      </c>
      <c r="E611">
        <v>1.07</v>
      </c>
      <c r="F611" t="str">
        <v>Interbank</v>
      </c>
      <c r="G611" t="str">
        <v>Agosto</v>
      </c>
    </row>
    <row r="612">
      <c r="A612" t="str">
        <v>Egreso</v>
      </c>
      <c r="B612">
        <v>46235</v>
      </c>
      <c r="C612" t="str">
        <v>Gasto</v>
      </c>
      <c r="D612" t="str">
        <v>Pasta Dental</v>
      </c>
      <c r="E612">
        <v>1.06</v>
      </c>
      <c r="F612" t="str">
        <v>Interbank</v>
      </c>
      <c r="G612" t="str">
        <v>Agosto</v>
      </c>
    </row>
    <row r="613">
      <c r="A613" t="str">
        <v>Egreso</v>
      </c>
      <c r="B613">
        <v>46235</v>
      </c>
      <c r="C613" t="str">
        <v>Servicio</v>
      </c>
      <c r="D613" t="str">
        <v>Internet</v>
      </c>
      <c r="E613">
        <v>78.48</v>
      </c>
      <c r="F613" t="str">
        <v>BBVA Bfree</v>
      </c>
      <c r="G613" t="str">
        <v>Agosto</v>
      </c>
    </row>
    <row r="614">
      <c r="A614" t="str">
        <v>Egreso</v>
      </c>
      <c r="B614">
        <v>46235</v>
      </c>
      <c r="C614" t="str">
        <v>Gasto</v>
      </c>
      <c r="D614" t="str">
        <v>Bus</v>
      </c>
      <c r="E614">
        <v>8</v>
      </c>
      <c r="F614" t="str">
        <v>Interbank</v>
      </c>
      <c r="G614" t="str">
        <v>Agosto</v>
      </c>
    </row>
    <row r="615">
      <c r="A615" t="str">
        <v>Egreso</v>
      </c>
      <c r="B615">
        <v>46235</v>
      </c>
      <c r="C615" t="str">
        <v>Gasto</v>
      </c>
      <c r="D615" t="str">
        <v>Perfume Invictus</v>
      </c>
      <c r="E615">
        <v>40</v>
      </c>
      <c r="F615" t="str">
        <v>Interbank</v>
      </c>
      <c r="G615" t="str">
        <v>Agosto</v>
      </c>
    </row>
    <row r="616">
      <c r="A616" t="str">
        <v>Egreso</v>
      </c>
      <c r="B616">
        <v>46235</v>
      </c>
      <c r="C616" t="str">
        <v>Gasto</v>
      </c>
      <c r="D616" t="str">
        <v>Carol</v>
      </c>
      <c r="E616">
        <v>41</v>
      </c>
      <c r="F616" t="str">
        <v>Interbank Amex</v>
      </c>
      <c r="G616" t="str">
        <v>Agosto</v>
      </c>
    </row>
    <row r="617">
      <c r="A617" t="str">
        <v>Egreso</v>
      </c>
      <c r="B617">
        <v>46235</v>
      </c>
      <c r="C617" t="str">
        <v>Gasto</v>
      </c>
      <c r="D617" t="str">
        <v>Café</v>
      </c>
      <c r="E617">
        <v>20</v>
      </c>
      <c r="F617" t="str">
        <v>Interbank Amex</v>
      </c>
      <c r="G617" t="str">
        <v>Agosto</v>
      </c>
    </row>
    <row r="618">
      <c r="A618" t="str">
        <v>Egreso</v>
      </c>
      <c r="B618">
        <v>46235</v>
      </c>
      <c r="C618" t="str">
        <v>Servicio</v>
      </c>
      <c r="D618" t="str">
        <v>Gas</v>
      </c>
      <c r="E618">
        <v>43.5</v>
      </c>
      <c r="F618" t="str">
        <v>BBVA Bfree</v>
      </c>
      <c r="G618" t="str">
        <v>Agosto</v>
      </c>
    </row>
    <row r="619">
      <c r="A619" t="str">
        <v>Egreso</v>
      </c>
      <c r="B619">
        <v>46235</v>
      </c>
      <c r="C619" t="str">
        <v>Gasto</v>
      </c>
      <c r="D619" t="str">
        <v>Carol</v>
      </c>
      <c r="E619">
        <v>5.9</v>
      </c>
      <c r="F619" t="str">
        <v>Interbank Amex</v>
      </c>
      <c r="G619" t="str">
        <v>Agosto</v>
      </c>
    </row>
    <row r="620">
      <c r="A620" t="str">
        <v>Egreso</v>
      </c>
      <c r="B620">
        <v>46235</v>
      </c>
      <c r="C620" t="str">
        <v>Servicio</v>
      </c>
      <c r="D620" t="str">
        <v>Gaseosa</v>
      </c>
      <c r="E620">
        <v>18.2</v>
      </c>
      <c r="F620" t="str">
        <v>Interbank Amex</v>
      </c>
      <c r="G620" t="str">
        <v>Agosto</v>
      </c>
    </row>
    <row r="621">
      <c r="A621" t="str">
        <v>Egreso</v>
      </c>
      <c r="B621">
        <v>46235</v>
      </c>
      <c r="C621" t="str">
        <v>Gasto</v>
      </c>
      <c r="D621" t="str">
        <v>Mayonesa</v>
      </c>
      <c r="E621">
        <v>9.9</v>
      </c>
      <c r="F621" t="str">
        <v>Interbank Amex</v>
      </c>
      <c r="G621" t="str">
        <v>Agosto</v>
      </c>
    </row>
    <row r="622">
      <c r="A622" t="str">
        <v>Egreso</v>
      </c>
      <c r="B622">
        <v>46235</v>
      </c>
      <c r="C622" t="str">
        <v>Gasto</v>
      </c>
      <c r="D622" t="str">
        <v>Poster de Spiderman</v>
      </c>
      <c r="E622">
        <v>10</v>
      </c>
      <c r="F622" t="str">
        <v>Interbank</v>
      </c>
      <c r="G622" t="str">
        <v>Agosto</v>
      </c>
    </row>
    <row r="623">
      <c r="A623" t="str">
        <v>Egreso</v>
      </c>
      <c r="B623">
        <v>46235</v>
      </c>
      <c r="C623" t="str">
        <v>Gasto</v>
      </c>
      <c r="D623" t="str">
        <v>Taxi</v>
      </c>
      <c r="E623">
        <v>12</v>
      </c>
      <c r="F623" t="str">
        <v>Interbank</v>
      </c>
      <c r="G623" t="str">
        <v>Agosto</v>
      </c>
    </row>
    <row r="624">
      <c r="A624" t="str">
        <v>Egreso</v>
      </c>
      <c r="B624">
        <v>46235</v>
      </c>
      <c r="C624" t="str">
        <v>Gasto</v>
      </c>
      <c r="D624" t="str">
        <v>Desvagramen</v>
      </c>
      <c r="E624">
        <v>2.45</v>
      </c>
      <c r="F624" t="str">
        <v>Interbank Amex</v>
      </c>
      <c r="G624" t="str">
        <v>Agosto</v>
      </c>
    </row>
    <row r="625">
      <c r="A625" t="str">
        <v>Egreso</v>
      </c>
      <c r="B625">
        <v>46235</v>
      </c>
      <c r="C625" t="str">
        <v>Gasto</v>
      </c>
      <c r="D625" t="str">
        <v>Futbol</v>
      </c>
      <c r="E625">
        <v>9</v>
      </c>
      <c r="F625" t="str">
        <v>Interbank</v>
      </c>
      <c r="G625" t="str">
        <v>Agosto</v>
      </c>
    </row>
    <row r="626">
      <c r="A626" t="str">
        <v>Egreso</v>
      </c>
      <c r="B626">
        <v>46235</v>
      </c>
      <c r="C626" t="str">
        <v>Gasto</v>
      </c>
      <c r="D626" t="str">
        <v>Desvagramen</v>
      </c>
      <c r="E626">
        <v>35.8</v>
      </c>
      <c r="F626" t="str">
        <v>Ripley</v>
      </c>
      <c r="G626" t="str">
        <v>Agosto</v>
      </c>
    </row>
    <row r="627">
      <c r="A627" t="str">
        <v>Egreso</v>
      </c>
      <c r="B627">
        <v>46235</v>
      </c>
      <c r="C627" t="str">
        <v>Servicio</v>
      </c>
      <c r="D627" t="str">
        <v>Spotify</v>
      </c>
      <c r="E627">
        <v>11.9</v>
      </c>
      <c r="F627" t="str">
        <v>Interbank Amex</v>
      </c>
      <c r="G627" t="str">
        <v>Agosto</v>
      </c>
    </row>
    <row r="628">
      <c r="A628" t="str">
        <v>Egreso</v>
      </c>
      <c r="B628">
        <v>46235</v>
      </c>
      <c r="C628" t="str">
        <v>Gasto</v>
      </c>
      <c r="D628" t="str">
        <v>Futbol</v>
      </c>
      <c r="E628">
        <v>23</v>
      </c>
      <c r="F628" t="str">
        <v>Interbank</v>
      </c>
      <c r="G628" t="str">
        <v>Agosto</v>
      </c>
    </row>
    <row r="629">
      <c r="A629" t="str">
        <v>Egreso</v>
      </c>
      <c r="B629">
        <v>46235</v>
      </c>
      <c r="C629" t="str">
        <v>Gasto</v>
      </c>
      <c r="D629" t="str">
        <v>Apuestas</v>
      </c>
      <c r="E629">
        <v>27</v>
      </c>
      <c r="F629" t="str">
        <v>Interbank</v>
      </c>
      <c r="G629" t="str">
        <v>Agosto</v>
      </c>
    </row>
    <row r="630">
      <c r="A630" t="str">
        <v>Egreso</v>
      </c>
      <c r="B630">
        <v>46236</v>
      </c>
      <c r="C630" t="str">
        <v>Gasto</v>
      </c>
      <c r="D630" t="str">
        <v>Taxi</v>
      </c>
      <c r="E630">
        <v>14.5</v>
      </c>
      <c r="F630" t="str">
        <v>Interbank</v>
      </c>
      <c r="G630" t="str">
        <v>Agosto</v>
      </c>
    </row>
    <row r="631">
      <c r="A631" t="str">
        <v>Egreso</v>
      </c>
      <c r="B631">
        <v>46236</v>
      </c>
      <c r="C631" t="str">
        <v>Gasto</v>
      </c>
      <c r="D631" t="str">
        <v>Detergente</v>
      </c>
      <c r="E631">
        <v>11.83</v>
      </c>
      <c r="F631" t="str">
        <v>Interbank Amex</v>
      </c>
      <c r="G631" t="str">
        <v>Agosto</v>
      </c>
    </row>
    <row r="632">
      <c r="A632" t="str">
        <v>Egreso</v>
      </c>
      <c r="B632">
        <v>46236</v>
      </c>
      <c r="C632" t="str">
        <v>Gasto</v>
      </c>
      <c r="D632" t="str">
        <v>Papel Higiénico</v>
      </c>
      <c r="E632">
        <v>11.83</v>
      </c>
      <c r="F632" t="str">
        <v>Interbank Amex</v>
      </c>
      <c r="G632" t="str">
        <v>Agosto</v>
      </c>
    </row>
    <row r="633">
      <c r="A633" t="str">
        <v>Egreso</v>
      </c>
      <c r="B633">
        <v>46236</v>
      </c>
      <c r="C633" t="str">
        <v>Gasto</v>
      </c>
      <c r="D633" t="str">
        <v>Pasta Dental</v>
      </c>
      <c r="E633">
        <v>11.84</v>
      </c>
      <c r="F633" t="str">
        <v>Interbank Amex</v>
      </c>
      <c r="G633" t="str">
        <v>Agosto</v>
      </c>
    </row>
    <row r="634">
      <c r="A634" t="str">
        <v>Egreso</v>
      </c>
      <c r="B634">
        <v>46236</v>
      </c>
      <c r="C634" t="str">
        <v>Gasto</v>
      </c>
      <c r="D634" t="str">
        <v>Carol</v>
      </c>
      <c r="E634">
        <v>36.7</v>
      </c>
      <c r="F634" t="str">
        <v>Interbank Amex</v>
      </c>
      <c r="G634" t="str">
        <v>Agosto</v>
      </c>
    </row>
    <row r="635">
      <c r="A635" t="str">
        <v>Egreso</v>
      </c>
      <c r="B635">
        <v>46236</v>
      </c>
      <c r="C635" t="str">
        <v>Gasto</v>
      </c>
      <c r="D635" t="str">
        <v>Carol</v>
      </c>
      <c r="E635">
        <v>25</v>
      </c>
      <c r="F635" t="str">
        <v>Interbank</v>
      </c>
      <c r="G635" t="str">
        <v>Agosto</v>
      </c>
    </row>
    <row r="636">
      <c r="A636" t="str">
        <v>Egreso</v>
      </c>
      <c r="B636">
        <v>46236</v>
      </c>
      <c r="C636" t="str">
        <v>Servicio</v>
      </c>
      <c r="D636" t="str">
        <v>Gaseosa</v>
      </c>
      <c r="E636">
        <v>7.5</v>
      </c>
      <c r="F636" t="str">
        <v>Interbank</v>
      </c>
      <c r="G636" t="str">
        <v>Agosto</v>
      </c>
    </row>
    <row r="637">
      <c r="A637" t="str">
        <v>Egreso</v>
      </c>
      <c r="B637">
        <v>46236</v>
      </c>
      <c r="C637" t="str">
        <v>Gasto</v>
      </c>
      <c r="D637" t="str">
        <v>Bus</v>
      </c>
      <c r="E637">
        <v>7</v>
      </c>
      <c r="F637" t="str">
        <v>Interbank</v>
      </c>
      <c r="G637" t="str">
        <v>Agosto</v>
      </c>
    </row>
    <row r="638">
      <c r="A638" t="str">
        <v>Egreso</v>
      </c>
      <c r="B638">
        <v>46237</v>
      </c>
      <c r="C638" t="str">
        <v>Gasto</v>
      </c>
      <c r="D638" t="str">
        <v>Ceviche</v>
      </c>
      <c r="E638">
        <v>6</v>
      </c>
      <c r="F638" t="str">
        <v>Interbank</v>
      </c>
      <c r="G638" t="str">
        <v>Agosto</v>
      </c>
    </row>
    <row r="639">
      <c r="A639" t="str">
        <v>Egreso</v>
      </c>
      <c r="B639">
        <v>46237</v>
      </c>
      <c r="C639" t="str">
        <v>Gasto</v>
      </c>
      <c r="D639" t="str">
        <v>Carol</v>
      </c>
      <c r="E639">
        <v>43</v>
      </c>
      <c r="F639" t="str">
        <v>Interbank Amex</v>
      </c>
      <c r="G639" t="str">
        <v>Agosto</v>
      </c>
    </row>
    <row r="640">
      <c r="A640" t="str">
        <v>Egreso</v>
      </c>
      <c r="B640">
        <v>46237</v>
      </c>
      <c r="C640" t="str">
        <v>Gasto</v>
      </c>
      <c r="D640" t="str">
        <v>Taxi</v>
      </c>
      <c r="E640">
        <v>25.5</v>
      </c>
      <c r="F640" t="str">
        <v>Interbank</v>
      </c>
      <c r="G640" t="str">
        <v>Agosto</v>
      </c>
    </row>
    <row r="641">
      <c r="A641" t="str">
        <v>Egreso</v>
      </c>
      <c r="B641">
        <v>46238</v>
      </c>
      <c r="C641" t="str">
        <v>Gasto</v>
      </c>
      <c r="D641" t="str">
        <v>Bus</v>
      </c>
      <c r="E641">
        <v>4</v>
      </c>
      <c r="F641" t="str">
        <v>Interbank</v>
      </c>
      <c r="G641" t="str">
        <v>Agosto</v>
      </c>
    </row>
    <row r="642">
      <c r="A642" t="str">
        <v>Egreso</v>
      </c>
      <c r="B642">
        <v>46238</v>
      </c>
      <c r="C642" t="str">
        <v>Gasto</v>
      </c>
      <c r="D642" t="str">
        <v>Broaster</v>
      </c>
      <c r="E642">
        <v>18</v>
      </c>
      <c r="F642" t="str">
        <v>Interbank</v>
      </c>
      <c r="G642" t="str">
        <v>Agosto</v>
      </c>
    </row>
    <row r="643">
      <c r="A643" t="str">
        <v>Egreso</v>
      </c>
      <c r="B643">
        <v>46239</v>
      </c>
      <c r="C643" t="str">
        <v>Gasto</v>
      </c>
      <c r="D643" t="str">
        <v>Taxi</v>
      </c>
      <c r="E643">
        <v>19.5</v>
      </c>
      <c r="F643" t="str">
        <v>Interbank</v>
      </c>
      <c r="G643" t="str">
        <v>Agosto</v>
      </c>
    </row>
    <row r="644">
      <c r="A644" t="str">
        <v>Egreso</v>
      </c>
      <c r="B644">
        <v>46239</v>
      </c>
      <c r="C644" t="str">
        <v>Gasto</v>
      </c>
      <c r="D644" t="str">
        <v>Carol</v>
      </c>
      <c r="E644">
        <v>15</v>
      </c>
      <c r="F644" t="str">
        <v>Interbank</v>
      </c>
      <c r="G644" t="str">
        <v>Agosto</v>
      </c>
    </row>
    <row r="645">
      <c r="A645" t="str">
        <v>Egreso</v>
      </c>
      <c r="B645">
        <v>46239</v>
      </c>
      <c r="C645" t="str">
        <v>Gasto</v>
      </c>
      <c r="D645" t="str">
        <v>Carol</v>
      </c>
      <c r="E645">
        <v>57.3</v>
      </c>
      <c r="F645" t="str">
        <v>Ripley</v>
      </c>
      <c r="G645" t="str">
        <v>Agosto</v>
      </c>
    </row>
    <row r="646">
      <c r="A646" t="str">
        <v>Egreso</v>
      </c>
      <c r="B646">
        <v>46240</v>
      </c>
      <c r="C646" t="str">
        <v>Gasto</v>
      </c>
      <c r="D646" t="str">
        <v>Taxi</v>
      </c>
      <c r="E646">
        <v>12</v>
      </c>
      <c r="F646" t="str">
        <v>Interbank</v>
      </c>
      <c r="G646" t="str">
        <v>Agosto</v>
      </c>
    </row>
    <row r="647">
      <c r="A647" t="str">
        <v>Egreso</v>
      </c>
      <c r="B647">
        <v>46240</v>
      </c>
      <c r="C647" t="str">
        <v>Gasto</v>
      </c>
      <c r="D647" t="str">
        <v>Ceviche</v>
      </c>
      <c r="E647">
        <v>6</v>
      </c>
      <c r="F647" t="str">
        <v>Interbank</v>
      </c>
      <c r="G647" t="str">
        <v>Agosto</v>
      </c>
    </row>
    <row r="648">
      <c r="A648" t="str">
        <v>Egreso</v>
      </c>
      <c r="B648">
        <v>46241</v>
      </c>
      <c r="C648" t="str">
        <v>Gasto</v>
      </c>
      <c r="D648" t="str">
        <v>Desvagramen</v>
      </c>
      <c r="E648">
        <v>16.9</v>
      </c>
      <c r="F648" t="str">
        <v>Ripley</v>
      </c>
      <c r="G648" t="str">
        <v>Agosto</v>
      </c>
    </row>
    <row r="649">
      <c r="A649" t="str">
        <v>Egreso</v>
      </c>
      <c r="B649">
        <v>46241</v>
      </c>
      <c r="C649" t="str">
        <v>Gasto</v>
      </c>
      <c r="D649" t="str">
        <v>Futbol</v>
      </c>
      <c r="E649">
        <v>11</v>
      </c>
      <c r="F649" t="str">
        <v>Interbank</v>
      </c>
      <c r="G649" t="str">
        <v>Agosto</v>
      </c>
    </row>
    <row r="650">
      <c r="A650" t="str">
        <v>Egreso</v>
      </c>
      <c r="B650">
        <v>46242</v>
      </c>
      <c r="C650" t="str">
        <v>Gasto</v>
      </c>
      <c r="D650" t="str">
        <v>Broaster</v>
      </c>
      <c r="E650">
        <v>10</v>
      </c>
      <c r="F650" t="str">
        <v>Interbank</v>
      </c>
      <c r="G650" t="str">
        <v>Agosto</v>
      </c>
    </row>
    <row r="651">
      <c r="A651" t="str">
        <v>Egreso</v>
      </c>
      <c r="B651">
        <v>46242</v>
      </c>
      <c r="C651" t="str">
        <v>Gasto</v>
      </c>
      <c r="D651" t="str">
        <v>Futbol</v>
      </c>
      <c r="E651">
        <v>16.5</v>
      </c>
      <c r="F651" t="str">
        <v>Interbank</v>
      </c>
      <c r="G651" t="str">
        <v>Agosto</v>
      </c>
    </row>
    <row r="652">
      <c r="A652" t="str">
        <v>Egreso</v>
      </c>
      <c r="B652">
        <v>46243</v>
      </c>
      <c r="C652" t="str">
        <v>Gasto</v>
      </c>
      <c r="D652" t="str">
        <v>Carol</v>
      </c>
      <c r="E652">
        <v>40</v>
      </c>
      <c r="F652" t="str">
        <v>Interbank</v>
      </c>
      <c r="G652" t="str">
        <v>Agosto</v>
      </c>
    </row>
    <row r="653">
      <c r="A653" t="str">
        <v>Egreso</v>
      </c>
      <c r="B653">
        <v>46243</v>
      </c>
      <c r="C653" t="str">
        <v>Gasto</v>
      </c>
      <c r="D653" t="str">
        <v>Taxi</v>
      </c>
      <c r="E653">
        <v>23</v>
      </c>
      <c r="F653" t="str">
        <v>Interbank</v>
      </c>
      <c r="G653" t="str">
        <v>Agosto</v>
      </c>
    </row>
    <row r="654">
      <c r="A654" t="str">
        <v>Egreso</v>
      </c>
      <c r="B654">
        <v>46243</v>
      </c>
      <c r="C654" t="str">
        <v>Gasto</v>
      </c>
      <c r="D654" t="str">
        <v>Carol</v>
      </c>
      <c r="E654">
        <v>19</v>
      </c>
      <c r="F654" t="str">
        <v>Interbank Amex</v>
      </c>
      <c r="G654" t="str">
        <v>Agosto</v>
      </c>
    </row>
    <row r="655">
      <c r="A655" t="str">
        <v>Egreso</v>
      </c>
      <c r="B655">
        <v>46243</v>
      </c>
      <c r="C655" t="str">
        <v>Gasto</v>
      </c>
      <c r="D655" t="str">
        <v>Chifa</v>
      </c>
      <c r="E655">
        <v>64.7</v>
      </c>
      <c r="F655" t="str">
        <v>Ripley</v>
      </c>
      <c r="G655" t="str">
        <v>Agosto</v>
      </c>
    </row>
    <row r="656">
      <c r="A656" t="str">
        <v>Egreso</v>
      </c>
      <c r="B656">
        <v>46243</v>
      </c>
      <c r="C656" t="str">
        <v>Gasto</v>
      </c>
      <c r="D656" t="str">
        <v>Medicina Madre</v>
      </c>
      <c r="E656">
        <v>173.2</v>
      </c>
      <c r="F656" t="str">
        <v>Ripley</v>
      </c>
      <c r="G656" t="str">
        <v>Agosto</v>
      </c>
    </row>
    <row r="657">
      <c r="A657" t="str">
        <v>Ingreso</v>
      </c>
      <c r="B657">
        <v>46243</v>
      </c>
      <c r="C657" t="str">
        <v>Otro Ing</v>
      </c>
      <c r="D657" t="str">
        <v>Madre</v>
      </c>
      <c r="E657">
        <v>70</v>
      </c>
      <c r="F657" t="str">
        <v>Interbank</v>
      </c>
      <c r="G657" t="str">
        <v>Agosto</v>
      </c>
    </row>
    <row r="658">
      <c r="A658" t="str">
        <v>Egreso</v>
      </c>
      <c r="B658">
        <v>46243</v>
      </c>
      <c r="C658" t="str">
        <v>Gasto</v>
      </c>
      <c r="D658" t="str">
        <v>Desvagramen</v>
      </c>
      <c r="E658">
        <v>21.31</v>
      </c>
      <c r="F658" t="str">
        <v>BBVA Bfree</v>
      </c>
      <c r="G658" t="str">
        <v>Agosto</v>
      </c>
    </row>
    <row r="659">
      <c r="A659" t="str">
        <v>Egreso</v>
      </c>
      <c r="B659">
        <v>46244</v>
      </c>
      <c r="C659" t="str">
        <v>Gasto</v>
      </c>
      <c r="D659" t="str">
        <v>Taxi</v>
      </c>
      <c r="E659">
        <v>21</v>
      </c>
      <c r="F659" t="str">
        <v>Interbank</v>
      </c>
      <c r="G659" t="str">
        <v>Agosto</v>
      </c>
    </row>
    <row r="660">
      <c r="A660" t="str">
        <v>Egreso</v>
      </c>
      <c r="B660">
        <v>46244</v>
      </c>
      <c r="C660" t="str">
        <v>Gasto</v>
      </c>
      <c r="D660" t="str">
        <v>Carol</v>
      </c>
      <c r="E660">
        <v>28.5</v>
      </c>
      <c r="F660" t="str">
        <v>Interbank</v>
      </c>
      <c r="G660" t="str">
        <v>Agosto</v>
      </c>
    </row>
    <row r="661">
      <c r="A661" t="str">
        <v>Egreso</v>
      </c>
      <c r="B661">
        <v>46245</v>
      </c>
      <c r="C661" t="str">
        <v>Servicio</v>
      </c>
      <c r="D661" t="str">
        <v>Luz</v>
      </c>
      <c r="E661">
        <v>98</v>
      </c>
      <c r="F661" t="str">
        <v>BBVA Bfree</v>
      </c>
      <c r="G661" t="str">
        <v>Agosto</v>
      </c>
    </row>
    <row r="662">
      <c r="A662" t="str">
        <v>Egreso</v>
      </c>
      <c r="B662">
        <v>46245</v>
      </c>
      <c r="C662" t="str">
        <v>Servicio</v>
      </c>
      <c r="D662" t="str">
        <v>Telefonia Movil</v>
      </c>
      <c r="E662">
        <v>39.9</v>
      </c>
      <c r="F662" t="str">
        <v>BBVA Bfree</v>
      </c>
      <c r="G662" t="str">
        <v>Agosto</v>
      </c>
    </row>
    <row r="663">
      <c r="A663" t="str">
        <v>Ingreso</v>
      </c>
      <c r="B663">
        <v>46245</v>
      </c>
      <c r="C663" t="str">
        <v>Otro Ing</v>
      </c>
      <c r="D663" t="str">
        <v>Apuestas</v>
      </c>
      <c r="E663">
        <v>50</v>
      </c>
      <c r="F663" t="str">
        <v>Interbank</v>
      </c>
      <c r="G663" t="str">
        <v>Agosto</v>
      </c>
    </row>
    <row r="664">
      <c r="A664" t="str">
        <v>Egreso</v>
      </c>
      <c r="B664">
        <v>46245</v>
      </c>
      <c r="C664" t="str">
        <v>Gasto</v>
      </c>
      <c r="D664" t="str">
        <v>Broaster</v>
      </c>
      <c r="E664">
        <v>12</v>
      </c>
      <c r="F664" t="str">
        <v>Interbank</v>
      </c>
      <c r="G664" t="str">
        <v>Agosto</v>
      </c>
    </row>
    <row r="665">
      <c r="A665" t="str">
        <v>Egreso</v>
      </c>
      <c r="B665">
        <v>46246</v>
      </c>
      <c r="C665" t="str">
        <v>Gasto</v>
      </c>
      <c r="D665" t="str">
        <v>Carol</v>
      </c>
      <c r="E665">
        <v>13</v>
      </c>
      <c r="F665" t="str">
        <v>Interbank</v>
      </c>
      <c r="G665" t="str">
        <v>Agosto</v>
      </c>
    </row>
    <row r="666">
      <c r="A666" t="str">
        <v>Egreso</v>
      </c>
      <c r="B666">
        <v>46246</v>
      </c>
      <c r="C666" t="str">
        <v>Servicio</v>
      </c>
      <c r="D666" t="str">
        <v>Gaseosa</v>
      </c>
      <c r="E666">
        <v>9.9</v>
      </c>
      <c r="F666" t="str">
        <v>Interbank Amex</v>
      </c>
      <c r="G666" t="str">
        <v>Agosto</v>
      </c>
    </row>
    <row r="667">
      <c r="A667" t="str">
        <v>Egreso</v>
      </c>
      <c r="B667">
        <v>46246</v>
      </c>
      <c r="C667" t="str">
        <v>Gasto</v>
      </c>
      <c r="D667" t="str">
        <v>Carol</v>
      </c>
      <c r="E667">
        <v>10.9</v>
      </c>
      <c r="F667" t="str">
        <v>Interbank Amex</v>
      </c>
      <c r="G667" t="str">
        <v>Agosto</v>
      </c>
    </row>
    <row r="668">
      <c r="A668" t="str">
        <v>Egreso</v>
      </c>
      <c r="B668">
        <v>46246</v>
      </c>
      <c r="C668" t="str">
        <v>Gasto</v>
      </c>
      <c r="D668" t="str">
        <v>Planet Chicken</v>
      </c>
      <c r="E668">
        <v>75.9</v>
      </c>
      <c r="F668" t="str">
        <v>Interbank Amex</v>
      </c>
      <c r="G668" t="str">
        <v>Agosto</v>
      </c>
    </row>
    <row r="669">
      <c r="A669" t="str">
        <v>Egreso</v>
      </c>
      <c r="B669">
        <v>46246</v>
      </c>
      <c r="C669" t="str">
        <v>Gasto</v>
      </c>
      <c r="D669" t="str">
        <v>Bus</v>
      </c>
      <c r="E669">
        <v>5</v>
      </c>
      <c r="F669" t="str">
        <v>Interbank</v>
      </c>
      <c r="G669" t="str">
        <v>Agosto</v>
      </c>
    </row>
    <row r="670">
      <c r="A670" t="str">
        <v>Egreso</v>
      </c>
      <c r="B670">
        <v>46246</v>
      </c>
      <c r="C670" t="str">
        <v>Gasto</v>
      </c>
      <c r="D670" t="str">
        <v>Bus</v>
      </c>
      <c r="E670">
        <v>8.5</v>
      </c>
      <c r="F670" t="str">
        <v>Interbank</v>
      </c>
      <c r="G670" t="str">
        <v>Agosto</v>
      </c>
    </row>
    <row r="671">
      <c r="A671" t="str">
        <v>Egreso</v>
      </c>
      <c r="B671">
        <v>46246</v>
      </c>
      <c r="C671" t="str">
        <v>Gasto</v>
      </c>
      <c r="D671" t="str">
        <v>Broaster</v>
      </c>
      <c r="E671">
        <v>10</v>
      </c>
      <c r="F671" t="str">
        <v>Interbank</v>
      </c>
      <c r="G671" t="str">
        <v>Agosto</v>
      </c>
    </row>
    <row r="672">
      <c r="A672" t="str">
        <v>Egreso</v>
      </c>
      <c r="B672">
        <v>46246</v>
      </c>
      <c r="C672" t="str">
        <v>Gasto</v>
      </c>
      <c r="D672" t="str">
        <v>Bus</v>
      </c>
      <c r="E672">
        <v>7</v>
      </c>
      <c r="F672" t="str">
        <v>Interbank</v>
      </c>
      <c r="G672" t="str">
        <v>Agosto</v>
      </c>
    </row>
    <row r="673">
      <c r="A673" t="str">
        <v>Egreso</v>
      </c>
      <c r="B673">
        <v>46247</v>
      </c>
      <c r="C673" t="str">
        <v>Gasto</v>
      </c>
      <c r="D673" t="str">
        <v>Bus</v>
      </c>
      <c r="E673">
        <v>5</v>
      </c>
      <c r="F673" t="str">
        <v>Interbank</v>
      </c>
      <c r="G673" t="str">
        <v>Agosto</v>
      </c>
    </row>
    <row r="674">
      <c r="A674" t="str">
        <v>Egreso</v>
      </c>
      <c r="B674">
        <v>46247</v>
      </c>
      <c r="C674" t="str">
        <v>Gasto</v>
      </c>
      <c r="D674" t="str">
        <v>Carol</v>
      </c>
      <c r="E674">
        <v>2.49</v>
      </c>
      <c r="F674" t="str">
        <v>Interbank Amex</v>
      </c>
      <c r="G674" t="str">
        <v>Agosto</v>
      </c>
    </row>
    <row r="675">
      <c r="A675" t="str">
        <v>Egreso</v>
      </c>
      <c r="B675">
        <v>46247</v>
      </c>
      <c r="C675" t="str">
        <v>Gasto</v>
      </c>
      <c r="D675" t="str">
        <v>Taxi</v>
      </c>
      <c r="E675">
        <v>19</v>
      </c>
      <c r="F675" t="str">
        <v>Interbank</v>
      </c>
      <c r="G675" t="str">
        <v>Agosto</v>
      </c>
    </row>
    <row r="676">
      <c r="A676" t="str">
        <v>Egreso</v>
      </c>
      <c r="B676">
        <v>46247</v>
      </c>
      <c r="C676" t="str">
        <v>Gasto</v>
      </c>
      <c r="D676" t="str">
        <v>Bus</v>
      </c>
      <c r="E676">
        <v>8</v>
      </c>
      <c r="F676" t="str">
        <v>Interbank</v>
      </c>
      <c r="G676" t="str">
        <v>Agosto</v>
      </c>
    </row>
    <row r="677">
      <c r="A677" t="str">
        <v>Egreso</v>
      </c>
      <c r="B677">
        <v>46247</v>
      </c>
      <c r="C677" t="str">
        <v>Servicio</v>
      </c>
      <c r="D677" t="str">
        <v>Gaseosa</v>
      </c>
      <c r="E677">
        <v>14</v>
      </c>
      <c r="F677" t="str">
        <v>BBVA Bfree</v>
      </c>
      <c r="G677" t="str">
        <v>Agosto</v>
      </c>
    </row>
    <row r="678">
      <c r="A678" t="str">
        <v>Egreso</v>
      </c>
      <c r="B678">
        <v>46247</v>
      </c>
      <c r="C678" t="str">
        <v>Gasto</v>
      </c>
      <c r="D678" t="str">
        <v>Makis</v>
      </c>
      <c r="E678">
        <v>118</v>
      </c>
      <c r="F678" t="str">
        <v>Interbank Amex</v>
      </c>
      <c r="G678" t="str">
        <v>Agosto</v>
      </c>
    </row>
    <row r="679">
      <c r="A679" t="str">
        <v>Egreso</v>
      </c>
      <c r="B679">
        <v>46248</v>
      </c>
      <c r="C679" t="str">
        <v>Gasto</v>
      </c>
      <c r="D679" t="str">
        <v>Bus</v>
      </c>
      <c r="E679">
        <v>9.5</v>
      </c>
      <c r="F679" t="str">
        <v>Interbank</v>
      </c>
      <c r="G679" t="str">
        <v>Agosto</v>
      </c>
    </row>
    <row r="680">
      <c r="A680" t="str">
        <v>Egreso</v>
      </c>
      <c r="B680">
        <v>46248</v>
      </c>
      <c r="C680" t="str">
        <v>Gasto</v>
      </c>
      <c r="D680" t="str">
        <v>Futbol</v>
      </c>
      <c r="E680">
        <v>11</v>
      </c>
      <c r="F680" t="str">
        <v>Interbank</v>
      </c>
      <c r="G680" t="str">
        <v>Agosto</v>
      </c>
    </row>
    <row r="681">
      <c r="A681" t="str">
        <v>Egreso</v>
      </c>
      <c r="B681">
        <v>46249</v>
      </c>
      <c r="C681" t="str">
        <v>Deuda</v>
      </c>
      <c r="D681" t="str">
        <v>Prestamo BCP</v>
      </c>
      <c r="E681">
        <v>143.16</v>
      </c>
      <c r="F681" t="str">
        <v>Interbank</v>
      </c>
      <c r="G681" t="str">
        <v>Agosto</v>
      </c>
    </row>
    <row r="682">
      <c r="A682" t="str">
        <v>Egreso</v>
      </c>
      <c r="B682">
        <v>46249</v>
      </c>
      <c r="C682" t="str">
        <v>Servicio</v>
      </c>
      <c r="D682" t="str">
        <v>Gaseosa</v>
      </c>
      <c r="E682">
        <v>12.9</v>
      </c>
      <c r="F682" t="str">
        <v>Ripley</v>
      </c>
      <c r="G682" t="str">
        <v>Agosto</v>
      </c>
    </row>
    <row r="683">
      <c r="A683" t="str">
        <v>Egreso</v>
      </c>
      <c r="B683">
        <v>46249</v>
      </c>
      <c r="C683" t="str">
        <v>Gasto</v>
      </c>
      <c r="D683" t="str">
        <v>Broaster</v>
      </c>
      <c r="E683">
        <v>25</v>
      </c>
      <c r="F683" t="str">
        <v>Ripley</v>
      </c>
      <c r="G683" t="str">
        <v>Agosto</v>
      </c>
    </row>
    <row r="684">
      <c r="A684" t="str">
        <v>Egreso</v>
      </c>
      <c r="B684">
        <v>46249</v>
      </c>
      <c r="C684" t="str">
        <v>Gasto</v>
      </c>
      <c r="D684" t="str">
        <v>Taxi</v>
      </c>
      <c r="E684">
        <v>15.5</v>
      </c>
      <c r="F684" t="str">
        <v>Interbank</v>
      </c>
      <c r="G684" t="str">
        <v>Agosto</v>
      </c>
    </row>
    <row r="685">
      <c r="A685" t="str">
        <v>Egreso</v>
      </c>
      <c r="B685">
        <v>46249</v>
      </c>
      <c r="C685" t="str">
        <v>Gasto</v>
      </c>
      <c r="D685" t="str">
        <v>Alcohol</v>
      </c>
      <c r="E685">
        <v>20</v>
      </c>
      <c r="F685" t="str">
        <v>Interbank</v>
      </c>
      <c r="G685" t="str">
        <v>Agosto</v>
      </c>
    </row>
    <row r="686">
      <c r="A686" t="str">
        <v>Egreso</v>
      </c>
      <c r="B686">
        <v>46250</v>
      </c>
      <c r="C686" t="str">
        <v>Gasto</v>
      </c>
      <c r="D686" t="str">
        <v>Broaster</v>
      </c>
      <c r="E686">
        <v>10</v>
      </c>
      <c r="F686" t="str">
        <v>Interbank</v>
      </c>
      <c r="G686" t="str">
        <v>Agosto</v>
      </c>
    </row>
    <row r="687">
      <c r="A687" t="str">
        <v>Egreso</v>
      </c>
      <c r="B687">
        <v>46251</v>
      </c>
      <c r="C687" t="str">
        <v>Gasto</v>
      </c>
      <c r="D687" t="str">
        <v>Detergente</v>
      </c>
      <c r="E687">
        <v>2.43</v>
      </c>
      <c r="F687" t="str">
        <v>Interbank</v>
      </c>
      <c r="G687" t="str">
        <v>Agosto</v>
      </c>
    </row>
    <row r="688">
      <c r="A688" t="str">
        <v>Egreso</v>
      </c>
      <c r="B688">
        <v>46251</v>
      </c>
      <c r="C688" t="str">
        <v>Gasto</v>
      </c>
      <c r="D688" t="str">
        <v>Papel Higiénico</v>
      </c>
      <c r="E688">
        <v>2.43</v>
      </c>
      <c r="F688" t="str">
        <v>Interbank</v>
      </c>
      <c r="G688" t="str">
        <v>Agosto</v>
      </c>
    </row>
    <row r="689">
      <c r="A689" t="str">
        <v>Egreso</v>
      </c>
      <c r="B689">
        <v>46251</v>
      </c>
      <c r="C689" t="str">
        <v>Gasto</v>
      </c>
      <c r="D689" t="str">
        <v>Pasta Dental</v>
      </c>
      <c r="E689">
        <v>2.44</v>
      </c>
      <c r="F689" t="str">
        <v>Interbank</v>
      </c>
      <c r="G689" t="str">
        <v>Agosto</v>
      </c>
    </row>
    <row r="690">
      <c r="A690" t="str">
        <v>Egreso</v>
      </c>
      <c r="B690">
        <v>46251</v>
      </c>
      <c r="C690" t="str">
        <v>Servicio</v>
      </c>
      <c r="D690" t="str">
        <v>Gaseosa</v>
      </c>
      <c r="E690">
        <v>1.5</v>
      </c>
      <c r="F690" t="str">
        <v>Interbank</v>
      </c>
      <c r="G690" t="str">
        <v>Agosto</v>
      </c>
    </row>
    <row r="691">
      <c r="A691" t="str">
        <v>Egreso</v>
      </c>
      <c r="B691">
        <v>46252</v>
      </c>
      <c r="C691" t="str">
        <v>Gasto</v>
      </c>
      <c r="D691" t="str">
        <v>Broaster</v>
      </c>
      <c r="E691">
        <v>10</v>
      </c>
      <c r="F691" t="str">
        <v>Interbank</v>
      </c>
      <c r="G691" t="str">
        <v>Agosto</v>
      </c>
    </row>
    <row r="692">
      <c r="A692" t="str">
        <v>Egreso</v>
      </c>
      <c r="B692">
        <v>46253</v>
      </c>
      <c r="C692" t="str">
        <v>Gasto</v>
      </c>
      <c r="D692" t="str">
        <v>Broaster</v>
      </c>
      <c r="E692">
        <v>10</v>
      </c>
      <c r="F692" t="str">
        <v>Interbank</v>
      </c>
      <c r="G692" t="str">
        <v>Agosto</v>
      </c>
    </row>
    <row r="693">
      <c r="A693" t="str">
        <v>Egreso</v>
      </c>
      <c r="B693">
        <v>46254</v>
      </c>
      <c r="C693" t="str">
        <v>Servicio</v>
      </c>
      <c r="D693" t="str">
        <v>Gaseosa</v>
      </c>
      <c r="E693">
        <v>12.9</v>
      </c>
      <c r="F693" t="str">
        <v>Ripley</v>
      </c>
      <c r="G693" t="str">
        <v>Agosto</v>
      </c>
    </row>
    <row r="694">
      <c r="A694" t="str">
        <v>Egreso</v>
      </c>
      <c r="B694">
        <v>46255</v>
      </c>
      <c r="C694" t="str">
        <v>Gasto</v>
      </c>
      <c r="D694" t="str">
        <v>Broaster</v>
      </c>
      <c r="E694">
        <v>10</v>
      </c>
      <c r="F694" t="str">
        <v>Interbank</v>
      </c>
      <c r="G694" t="str">
        <v>Agosto</v>
      </c>
    </row>
    <row r="695">
      <c r="A695" t="str">
        <v>Egreso</v>
      </c>
      <c r="B695">
        <v>46255</v>
      </c>
      <c r="C695" t="str">
        <v>Gasto</v>
      </c>
      <c r="D695" t="str">
        <v>Futbol</v>
      </c>
      <c r="E695">
        <v>9</v>
      </c>
      <c r="F695" t="str">
        <v>Interbank</v>
      </c>
      <c r="G695" t="str">
        <v>Agosto</v>
      </c>
    </row>
    <row r="696">
      <c r="A696" t="str">
        <v>Egreso</v>
      </c>
      <c r="B696">
        <v>46256</v>
      </c>
      <c r="C696" t="str">
        <v>Gasto</v>
      </c>
      <c r="D696" t="str">
        <v>Futbol</v>
      </c>
      <c r="E696">
        <v>13</v>
      </c>
      <c r="F696" t="str">
        <v>Interbank</v>
      </c>
      <c r="G696" t="str">
        <v>Agosto</v>
      </c>
    </row>
    <row r="697">
      <c r="A697" t="str">
        <v>Egreso</v>
      </c>
      <c r="B697">
        <v>46256</v>
      </c>
      <c r="C697" t="str">
        <v>Gasto</v>
      </c>
      <c r="D697" t="str">
        <v>Broaster</v>
      </c>
      <c r="E697">
        <v>10</v>
      </c>
      <c r="F697" t="str">
        <v>Interbank</v>
      </c>
      <c r="G697" t="str">
        <v>Agosto</v>
      </c>
    </row>
    <row r="698">
      <c r="A698" t="str">
        <v>Egreso</v>
      </c>
      <c r="B698">
        <v>46257</v>
      </c>
      <c r="C698" t="str">
        <v>Servicio</v>
      </c>
      <c r="D698" t="str">
        <v>iCloud</v>
      </c>
      <c r="E698">
        <v>14.66</v>
      </c>
      <c r="F698" t="str">
        <v>Interbank</v>
      </c>
      <c r="G698" t="str">
        <v>Agosto</v>
      </c>
    </row>
    <row r="699">
      <c r="A699" t="str">
        <v>Egreso</v>
      </c>
      <c r="B699">
        <v>46257</v>
      </c>
      <c r="C699" t="str">
        <v>Gasto</v>
      </c>
      <c r="D699" t="str">
        <v>Pollo a la Brasa</v>
      </c>
      <c r="E699">
        <v>25.9</v>
      </c>
      <c r="F699" t="str">
        <v>Interbank</v>
      </c>
      <c r="G699" t="str">
        <v>Agosto</v>
      </c>
    </row>
    <row r="700">
      <c r="A700" t="str">
        <v>Egreso</v>
      </c>
      <c r="B700">
        <v>46257</v>
      </c>
      <c r="C700" t="str">
        <v>Gasto</v>
      </c>
      <c r="D700" t="str">
        <v>Taxi</v>
      </c>
      <c r="E700">
        <v>15</v>
      </c>
      <c r="F700" t="str">
        <v>Interbank</v>
      </c>
      <c r="G700" t="str">
        <v>Agosto</v>
      </c>
    </row>
    <row r="701">
      <c r="A701" t="str">
        <v>Egreso</v>
      </c>
      <c r="B701">
        <v>46258</v>
      </c>
      <c r="C701" t="str">
        <v>Gasto</v>
      </c>
      <c r="D701" t="str">
        <v>Shawarma</v>
      </c>
      <c r="E701">
        <v>10</v>
      </c>
      <c r="F701" t="str">
        <v>Interbank</v>
      </c>
      <c r="G701" t="str">
        <v>Agosto</v>
      </c>
    </row>
    <row r="702">
      <c r="A702" t="str">
        <v>Egreso</v>
      </c>
      <c r="B702">
        <v>46258</v>
      </c>
      <c r="C702" t="str">
        <v>Gasto</v>
      </c>
      <c r="D702" t="str">
        <v>Detergente</v>
      </c>
      <c r="E702">
        <v>7.97</v>
      </c>
      <c r="F702" t="str">
        <v>Interbank Amex</v>
      </c>
      <c r="G702" t="str">
        <v>Agosto</v>
      </c>
    </row>
    <row r="703">
      <c r="A703" t="str">
        <v>Egreso</v>
      </c>
      <c r="B703">
        <v>46258</v>
      </c>
      <c r="C703" t="str">
        <v>Gasto</v>
      </c>
      <c r="D703" t="str">
        <v>Papel Higiénico</v>
      </c>
      <c r="E703">
        <v>7.97</v>
      </c>
      <c r="F703" t="str">
        <v>Interbank Amex</v>
      </c>
      <c r="G703" t="str">
        <v>Agosto</v>
      </c>
    </row>
    <row r="704">
      <c r="A704" t="str">
        <v>Egreso</v>
      </c>
      <c r="B704">
        <v>46258</v>
      </c>
      <c r="C704" t="str">
        <v>Gasto</v>
      </c>
      <c r="D704" t="str">
        <v>Pasta Dental</v>
      </c>
      <c r="E704">
        <v>7.96</v>
      </c>
      <c r="F704" t="str">
        <v>Interbank Amex</v>
      </c>
      <c r="G704" t="str">
        <v>Agosto</v>
      </c>
    </row>
    <row r="705">
      <c r="A705" t="str">
        <v>Egreso</v>
      </c>
      <c r="B705">
        <v>46261</v>
      </c>
      <c r="C705" t="str">
        <v>Gasto</v>
      </c>
      <c r="D705" t="str">
        <v>Detergente</v>
      </c>
      <c r="E705">
        <v>0.5</v>
      </c>
      <c r="F705" t="str">
        <v>Interbank</v>
      </c>
      <c r="G705" t="str">
        <v>Agosto</v>
      </c>
    </row>
    <row r="706">
      <c r="A706" t="str">
        <v>Egreso</v>
      </c>
      <c r="B706">
        <v>46261</v>
      </c>
      <c r="C706" t="str">
        <v>Gasto</v>
      </c>
      <c r="D706" t="str">
        <v>Papel Higiénico</v>
      </c>
      <c r="E706">
        <v>0.5</v>
      </c>
      <c r="F706" t="str">
        <v>Interbank</v>
      </c>
      <c r="G706" t="str">
        <v>Agosto</v>
      </c>
    </row>
    <row r="707">
      <c r="A707" t="str">
        <v>Egreso</v>
      </c>
      <c r="B707">
        <v>46261</v>
      </c>
      <c r="C707" t="str">
        <v>Gasto</v>
      </c>
      <c r="D707" t="str">
        <v>Pasta Dental</v>
      </c>
      <c r="E707">
        <v>0.5</v>
      </c>
      <c r="F707" t="str">
        <v>Interbank</v>
      </c>
      <c r="G707" t="str">
        <v>Agosto</v>
      </c>
    </row>
    <row r="708">
      <c r="A708" t="str">
        <v>Egreso</v>
      </c>
      <c r="B708">
        <v>46261</v>
      </c>
      <c r="C708" t="str">
        <v>Gasto</v>
      </c>
      <c r="D708" t="str">
        <v>Broaster</v>
      </c>
      <c r="E708">
        <v>9</v>
      </c>
      <c r="F708" t="str">
        <v>Interbank</v>
      </c>
      <c r="G708" t="str">
        <v>Agosto</v>
      </c>
    </row>
    <row r="709">
      <c r="A709" t="str">
        <v>Ingreso</v>
      </c>
      <c r="B709">
        <v>46261</v>
      </c>
      <c r="C709" t="str">
        <v>Otro Ing</v>
      </c>
      <c r="D709" t="str">
        <v>Eduardo</v>
      </c>
      <c r="E709">
        <v>100</v>
      </c>
      <c r="F709" t="str">
        <v>Interbank</v>
      </c>
      <c r="G709" t="str">
        <v>Agosto</v>
      </c>
    </row>
    <row r="710">
      <c r="A710" t="str">
        <v>Egreso</v>
      </c>
      <c r="B710">
        <v>46266</v>
      </c>
      <c r="C710" t="str">
        <v>Gasto</v>
      </c>
      <c r="D710" t="str">
        <v>Bus</v>
      </c>
      <c r="E710">
        <v>9</v>
      </c>
      <c r="F710" t="str">
        <v>Interbank</v>
      </c>
      <c r="G710" t="str">
        <v>Setiembre</v>
      </c>
    </row>
    <row r="711">
      <c r="A711" t="str">
        <v>Egreso</v>
      </c>
      <c r="B711">
        <v>46266</v>
      </c>
      <c r="C711" t="str">
        <v>Servicio</v>
      </c>
      <c r="D711" t="str">
        <v>Gas</v>
      </c>
      <c r="E711">
        <v>41.9</v>
      </c>
      <c r="F711" t="str">
        <v>BBVA Bfree</v>
      </c>
      <c r="G711" t="str">
        <v>Setiembre</v>
      </c>
    </row>
    <row r="712">
      <c r="A712" t="str">
        <v>Egreso</v>
      </c>
      <c r="B712">
        <v>46266</v>
      </c>
      <c r="C712" t="str">
        <v>Servicio</v>
      </c>
      <c r="D712" t="str">
        <v>Internet</v>
      </c>
      <c r="E712">
        <v>79</v>
      </c>
      <c r="F712" t="str">
        <v>BBVA Bfree</v>
      </c>
      <c r="G712" t="str">
        <v>Setiembre</v>
      </c>
    </row>
    <row r="713">
      <c r="A713" t="str">
        <v>Egreso</v>
      </c>
      <c r="B713">
        <v>46266</v>
      </c>
      <c r="C713" t="str">
        <v>Servicio</v>
      </c>
      <c r="D713" t="str">
        <v>Spotify</v>
      </c>
      <c r="E713">
        <v>11.9</v>
      </c>
      <c r="F713" t="str">
        <v>Interbank Amex</v>
      </c>
      <c r="G713" t="str">
        <v>Setiembre</v>
      </c>
    </row>
    <row r="714">
      <c r="A714" t="str">
        <v>Egreso</v>
      </c>
      <c r="B714">
        <v>46266</v>
      </c>
      <c r="C714" t="str">
        <v>Gasto</v>
      </c>
      <c r="D714" t="str">
        <v>Pollo a la Brasa</v>
      </c>
      <c r="E714">
        <v>23</v>
      </c>
      <c r="F714" t="str">
        <v>Interbank</v>
      </c>
      <c r="G714" t="str">
        <v>Setiembre</v>
      </c>
    </row>
    <row r="715">
      <c r="A715" t="str">
        <v>Ingreso</v>
      </c>
      <c r="B715">
        <v>46266</v>
      </c>
      <c r="C715" t="str">
        <v>Otro Ing</v>
      </c>
      <c r="D715" t="str">
        <v>Apuestas</v>
      </c>
      <c r="E715">
        <v>120</v>
      </c>
      <c r="F715" t="str">
        <v>Interbank</v>
      </c>
      <c r="G715" t="str">
        <v>Setiembre</v>
      </c>
    </row>
    <row r="716">
      <c r="A716" t="str">
        <v>Ingreso</v>
      </c>
      <c r="B716">
        <v>46266</v>
      </c>
      <c r="C716" t="str">
        <v>Otro Ing</v>
      </c>
      <c r="D716" t="str">
        <v>Bonificación Ahorro</v>
      </c>
      <c r="E716">
        <v>193</v>
      </c>
      <c r="F716" t="str">
        <v>Interbank</v>
      </c>
      <c r="G716" t="str">
        <v>Setiembre</v>
      </c>
    </row>
    <row r="717">
      <c r="A717" t="str">
        <v>Ingreso</v>
      </c>
      <c r="B717">
        <v>46266</v>
      </c>
      <c r="C717" t="str">
        <v>Sueldo</v>
      </c>
      <c r="D717" t="str">
        <v>Sueldo</v>
      </c>
      <c r="E717">
        <v>2259.63</v>
      </c>
      <c r="F717" t="str">
        <v>Interbank</v>
      </c>
      <c r="G717" t="str">
        <v>Setiembre</v>
      </c>
    </row>
    <row r="718">
      <c r="A718" t="str">
        <v>Ingreso</v>
      </c>
      <c r="B718">
        <v>46266</v>
      </c>
      <c r="C718" t="str">
        <v>Tarjeta</v>
      </c>
      <c r="D718" t="str">
        <v>Linea Tarjeta</v>
      </c>
      <c r="E718">
        <v>976.1</v>
      </c>
      <c r="F718" t="str">
        <v>Interbank Amex</v>
      </c>
      <c r="G718" t="str">
        <v>Setiembre</v>
      </c>
    </row>
    <row r="719">
      <c r="A719" t="str">
        <v>Ingreso</v>
      </c>
      <c r="B719">
        <v>46266</v>
      </c>
      <c r="C719" t="str">
        <v>Tarjeta</v>
      </c>
      <c r="D719" t="str">
        <v>Linea Tarjeta</v>
      </c>
      <c r="E719">
        <v>488.43</v>
      </c>
      <c r="F719" t="str">
        <v>BBVA Bfree</v>
      </c>
      <c r="G719" t="str">
        <v>Setiembre</v>
      </c>
    </row>
    <row r="720">
      <c r="A720" t="str">
        <v>Ingreso</v>
      </c>
      <c r="B720">
        <v>46266</v>
      </c>
      <c r="C720" t="str">
        <v>Tarjeta</v>
      </c>
      <c r="D720" t="str">
        <v>Linea Tarjeta</v>
      </c>
      <c r="E720">
        <v>637.11</v>
      </c>
      <c r="F720" t="str">
        <v>Ripley</v>
      </c>
      <c r="G720" t="str">
        <v>Setiembre</v>
      </c>
    </row>
    <row r="721">
      <c r="A721" t="str">
        <v>Egreso</v>
      </c>
      <c r="B721">
        <v>46266</v>
      </c>
      <c r="C721" t="str">
        <v>Deuda</v>
      </c>
      <c r="D721" t="str">
        <v>Pago de Tarjeta Ripley</v>
      </c>
      <c r="E721">
        <v>200.67</v>
      </c>
      <c r="F721" t="str">
        <v>Interbank</v>
      </c>
      <c r="G721" t="str">
        <v>Setiembre</v>
      </c>
    </row>
    <row r="722">
      <c r="A722" t="str">
        <v>Egreso</v>
      </c>
      <c r="B722">
        <v>46266</v>
      </c>
      <c r="C722" t="str">
        <v>Deuda</v>
      </c>
      <c r="D722" t="str">
        <v>Prestamo Yape</v>
      </c>
      <c r="E722">
        <v>116.85</v>
      </c>
      <c r="F722" t="str">
        <v>Interbank</v>
      </c>
      <c r="G722" t="str">
        <v>Setiembre</v>
      </c>
    </row>
    <row r="723">
      <c r="A723" t="str">
        <v>Egreso</v>
      </c>
      <c r="B723">
        <v>46266</v>
      </c>
      <c r="C723" t="str">
        <v>Gasto</v>
      </c>
      <c r="D723" t="str">
        <v>Corte de Cabello</v>
      </c>
      <c r="E723">
        <v>20</v>
      </c>
      <c r="F723" t="str">
        <v>Interbank</v>
      </c>
      <c r="G723" t="str">
        <v>Setiembre</v>
      </c>
    </row>
    <row r="724">
      <c r="A724" t="str">
        <v>Egreso</v>
      </c>
      <c r="B724">
        <v>46266</v>
      </c>
      <c r="C724" t="str">
        <v>Gasto</v>
      </c>
      <c r="D724" t="str">
        <v>iPhone 16</v>
      </c>
      <c r="E724">
        <v>245.75</v>
      </c>
      <c r="F724" t="str">
        <v>Interbank</v>
      </c>
      <c r="G724" t="str">
        <v>Setiembre</v>
      </c>
    </row>
    <row r="725">
      <c r="A725" t="str">
        <v>Egreso</v>
      </c>
      <c r="B725">
        <v>46266</v>
      </c>
      <c r="C725" t="str">
        <v>Gasto</v>
      </c>
      <c r="D725" t="str">
        <v>Futbol</v>
      </c>
      <c r="E725">
        <v>24.5</v>
      </c>
      <c r="F725" t="str">
        <v>Interbank</v>
      </c>
      <c r="G725" t="str">
        <v>Setiembre</v>
      </c>
    </row>
    <row r="726">
      <c r="A726" t="str">
        <v>Egreso</v>
      </c>
      <c r="B726">
        <v>46266</v>
      </c>
      <c r="C726" t="str">
        <v>Gasto</v>
      </c>
      <c r="D726" t="str">
        <v>IA</v>
      </c>
      <c r="E726">
        <v>18.99</v>
      </c>
      <c r="F726" t="str">
        <v>Ripley</v>
      </c>
      <c r="G726" t="str">
        <v>Setiembre</v>
      </c>
    </row>
    <row r="727">
      <c r="A727" t="str">
        <v>Egreso</v>
      </c>
      <c r="B727">
        <v>46266</v>
      </c>
      <c r="C727" t="str">
        <v>Servicio</v>
      </c>
      <c r="D727" t="str">
        <v>Gaseosa</v>
      </c>
      <c r="E727">
        <v>12.7</v>
      </c>
      <c r="F727" t="str">
        <v>Interbank Amex</v>
      </c>
      <c r="G727" t="str">
        <v>Setiembre</v>
      </c>
    </row>
    <row r="728">
      <c r="A728" t="str">
        <v>Egreso</v>
      </c>
      <c r="B728">
        <v>46266</v>
      </c>
      <c r="C728" t="str">
        <v>Gasto</v>
      </c>
      <c r="D728" t="str">
        <v>Tortes</v>
      </c>
      <c r="E728">
        <v>2</v>
      </c>
      <c r="F728" t="str">
        <v>Interbank</v>
      </c>
      <c r="G728" t="str">
        <v>Setiembre</v>
      </c>
    </row>
    <row r="729">
      <c r="A729" t="str">
        <v>Egreso</v>
      </c>
      <c r="B729">
        <v>46266</v>
      </c>
      <c r="C729" t="str">
        <v>Gasto</v>
      </c>
      <c r="D729" t="str">
        <v>Futbol</v>
      </c>
      <c r="E729">
        <v>10</v>
      </c>
      <c r="F729" t="str">
        <v>Interbank</v>
      </c>
      <c r="G729" t="str">
        <v>Setiembre</v>
      </c>
    </row>
    <row r="730">
      <c r="A730" t="str">
        <v>Egreso</v>
      </c>
      <c r="B730">
        <v>46266</v>
      </c>
      <c r="C730" t="str">
        <v>Gasto</v>
      </c>
      <c r="D730" t="str">
        <v>Broaster</v>
      </c>
      <c r="E730">
        <v>15</v>
      </c>
      <c r="F730" t="str">
        <v>Interbank</v>
      </c>
      <c r="G730" t="str">
        <v>Setiembre</v>
      </c>
    </row>
    <row r="731">
      <c r="A731" t="str">
        <v>Egreso</v>
      </c>
      <c r="B731">
        <v>46266</v>
      </c>
      <c r="C731" t="str">
        <v>Gasto</v>
      </c>
      <c r="D731" t="str">
        <v>Alcohol</v>
      </c>
      <c r="E731">
        <v>12.9</v>
      </c>
      <c r="F731" t="str">
        <v>Interbank</v>
      </c>
      <c r="G731" t="str">
        <v>Setiembre</v>
      </c>
    </row>
    <row r="732">
      <c r="A732" t="str">
        <v>Egreso</v>
      </c>
      <c r="B732">
        <v>46266</v>
      </c>
      <c r="C732" t="str">
        <v>Gasto</v>
      </c>
      <c r="D732" t="str">
        <v>Ceviche</v>
      </c>
      <c r="E732">
        <v>145</v>
      </c>
      <c r="F732" t="str">
        <v>Interbank Amex</v>
      </c>
      <c r="G732" t="str">
        <v>Setiembre</v>
      </c>
    </row>
    <row r="733">
      <c r="A733" t="str">
        <v>Egreso</v>
      </c>
      <c r="B733">
        <v>46266</v>
      </c>
      <c r="C733" t="str">
        <v>Gasto</v>
      </c>
      <c r="D733" t="str">
        <v>Café</v>
      </c>
      <c r="E733">
        <v>16</v>
      </c>
      <c r="F733" t="str">
        <v>Interbank Amex</v>
      </c>
      <c r="G733" t="str">
        <v>Setiembre</v>
      </c>
    </row>
    <row r="734">
      <c r="A734" t="str">
        <v>Egreso</v>
      </c>
      <c r="B734">
        <v>46266</v>
      </c>
      <c r="C734" t="str">
        <v>Gasto</v>
      </c>
      <c r="D734" t="str">
        <v>Bus</v>
      </c>
      <c r="E734">
        <v>2</v>
      </c>
      <c r="F734" t="str">
        <v>Interbank</v>
      </c>
      <c r="G734" t="str">
        <v>Setiembre</v>
      </c>
    </row>
    <row r="735">
      <c r="A735" t="str">
        <v>Egreso</v>
      </c>
      <c r="B735">
        <v>46266</v>
      </c>
      <c r="C735" t="str">
        <v>Servicio</v>
      </c>
      <c r="D735" t="str">
        <v>Agua Mineral</v>
      </c>
      <c r="E735">
        <v>2</v>
      </c>
      <c r="F735" t="str">
        <v>Interbank</v>
      </c>
      <c r="G735" t="str">
        <v>Setiembre</v>
      </c>
    </row>
    <row r="736">
      <c r="A736" t="str">
        <v>Egreso</v>
      </c>
      <c r="B736">
        <v>46266</v>
      </c>
      <c r="C736" t="str">
        <v>Servicio</v>
      </c>
      <c r="D736" t="str">
        <v>Gaseosa</v>
      </c>
      <c r="E736">
        <v>3.5</v>
      </c>
      <c r="F736" t="str">
        <v>Interbank</v>
      </c>
      <c r="G736" t="str">
        <v>Setiembre</v>
      </c>
    </row>
    <row r="737">
      <c r="A737" t="str">
        <v>Egreso</v>
      </c>
      <c r="B737">
        <v>46266</v>
      </c>
      <c r="C737" t="str">
        <v>Gasto</v>
      </c>
      <c r="D737" t="str">
        <v>Bus</v>
      </c>
      <c r="E737">
        <v>4</v>
      </c>
      <c r="F737" t="str">
        <v>Interbank</v>
      </c>
      <c r="G737" t="str">
        <v>Setiembre</v>
      </c>
    </row>
    <row r="738">
      <c r="A738" t="str">
        <v>Egreso</v>
      </c>
      <c r="B738">
        <v>46266</v>
      </c>
      <c r="C738" t="str">
        <v>Gasto</v>
      </c>
      <c r="D738" t="str">
        <v>Bus</v>
      </c>
      <c r="E738">
        <v>9</v>
      </c>
      <c r="F738" t="str">
        <v>Interbank</v>
      </c>
      <c r="G738" t="str">
        <v>Setiembre</v>
      </c>
    </row>
    <row r="739">
      <c r="A739" t="str">
        <v>Egreso</v>
      </c>
      <c r="B739">
        <v>46266</v>
      </c>
      <c r="C739" t="str">
        <v>Servicio</v>
      </c>
      <c r="D739" t="str">
        <v>Gaseosa</v>
      </c>
      <c r="E739">
        <v>8</v>
      </c>
      <c r="F739" t="str">
        <v>Interbank</v>
      </c>
      <c r="G739" t="str">
        <v>Setiembre</v>
      </c>
    </row>
    <row r="740">
      <c r="A740" t="str">
        <v>Egreso</v>
      </c>
      <c r="B740">
        <v>46266</v>
      </c>
      <c r="C740" t="str">
        <v>Deuda</v>
      </c>
      <c r="D740" t="str">
        <v>Pago de Tarjeta Interbank Amex</v>
      </c>
      <c r="E740">
        <v>751.89</v>
      </c>
      <c r="F740" t="str">
        <v>Interbank</v>
      </c>
      <c r="G740" t="str">
        <v>Setiembre</v>
      </c>
    </row>
    <row r="741">
      <c r="A741" t="str">
        <v>Egreso</v>
      </c>
      <c r="B741">
        <v>46266</v>
      </c>
      <c r="C741" t="str">
        <v>Deuda</v>
      </c>
      <c r="D741" t="str">
        <v>Pago de Tarjeta BBVA Bfree</v>
      </c>
      <c r="E741">
        <v>455.09</v>
      </c>
      <c r="F741" t="str">
        <v>Interbank</v>
      </c>
      <c r="G741" t="str">
        <v>Setiembre</v>
      </c>
    </row>
    <row r="742">
      <c r="A742" t="str">
        <v>Egreso</v>
      </c>
      <c r="B742">
        <v>46266</v>
      </c>
      <c r="C742" t="str">
        <v>Servicio</v>
      </c>
      <c r="D742" t="str">
        <v>Agua + Mantenimiento</v>
      </c>
      <c r="E742">
        <v>160</v>
      </c>
      <c r="F742" t="str">
        <v>Interbank</v>
      </c>
      <c r="G742" t="str">
        <v>Setiembre</v>
      </c>
    </row>
    <row r="743">
      <c r="A743" t="str">
        <v>Egreso</v>
      </c>
      <c r="B743">
        <v>46267</v>
      </c>
      <c r="C743" t="str">
        <v>Gasto</v>
      </c>
      <c r="D743" t="str">
        <v>Bus</v>
      </c>
      <c r="E743">
        <v>8</v>
      </c>
      <c r="F743" t="str">
        <v>Interbank</v>
      </c>
      <c r="G743" t="str">
        <v>Setiembre</v>
      </c>
    </row>
    <row r="744">
      <c r="A744" t="str">
        <v>Egreso</v>
      </c>
      <c r="B744">
        <v>46267</v>
      </c>
      <c r="C744" t="str">
        <v>Gasto</v>
      </c>
      <c r="D744" t="str">
        <v>Makis</v>
      </c>
      <c r="E744">
        <v>99</v>
      </c>
      <c r="F744" t="str">
        <v>Interbank Amex</v>
      </c>
      <c r="G744" t="str">
        <v>Setiembre</v>
      </c>
    </row>
    <row r="745">
      <c r="A745" t="str">
        <v>Egreso</v>
      </c>
      <c r="B745">
        <v>46267</v>
      </c>
      <c r="C745" t="str">
        <v>Gasto</v>
      </c>
      <c r="D745" t="str">
        <v>Bus</v>
      </c>
      <c r="E745">
        <v>7</v>
      </c>
      <c r="F745" t="str">
        <v>Interbank</v>
      </c>
      <c r="G745" t="str">
        <v>Setiembre</v>
      </c>
    </row>
    <row r="746">
      <c r="A746" t="str">
        <v>Egreso</v>
      </c>
      <c r="B746">
        <v>46268</v>
      </c>
      <c r="C746" t="str">
        <v>Servicio</v>
      </c>
      <c r="D746" t="str">
        <v>Desvagramen</v>
      </c>
      <c r="E746">
        <v>13.92</v>
      </c>
      <c r="F746" t="str">
        <v>Ripley</v>
      </c>
      <c r="G746" t="str">
        <v>Setiembre</v>
      </c>
    </row>
    <row r="747">
      <c r="A747" t="str">
        <v>Egreso</v>
      </c>
      <c r="B747">
        <v>46269</v>
      </c>
      <c r="C747" t="str">
        <v>Gasto</v>
      </c>
      <c r="D747" t="str">
        <v>Cine</v>
      </c>
      <c r="E747">
        <v>26.88</v>
      </c>
      <c r="F747" t="str">
        <v>Ripley</v>
      </c>
      <c r="G747" t="str">
        <v>Setiembre</v>
      </c>
    </row>
    <row r="748">
      <c r="A748" t="str">
        <v>Egreso</v>
      </c>
      <c r="B748">
        <v>46269</v>
      </c>
      <c r="C748" t="str">
        <v>Gasto</v>
      </c>
      <c r="D748" t="str">
        <v>Pasta Dental</v>
      </c>
      <c r="E748">
        <v>7.5</v>
      </c>
      <c r="F748" t="str">
        <v>Interbank</v>
      </c>
      <c r="G748" t="str">
        <v>Setiembre</v>
      </c>
    </row>
    <row r="749">
      <c r="A749" t="str">
        <v>Egreso</v>
      </c>
      <c r="B749">
        <v>46269</v>
      </c>
      <c r="C749" t="str">
        <v>Gasto</v>
      </c>
      <c r="D749" t="str">
        <v>Bus</v>
      </c>
      <c r="E749">
        <v>6</v>
      </c>
      <c r="F749" t="str">
        <v>Interbank</v>
      </c>
      <c r="G749" t="str">
        <v>Setiembre</v>
      </c>
    </row>
    <row r="750">
      <c r="A750" t="str">
        <v>Egreso</v>
      </c>
      <c r="B750">
        <v>46269</v>
      </c>
      <c r="C750" t="str">
        <v>Otro Egre</v>
      </c>
      <c r="D750" t="str">
        <v>Carol</v>
      </c>
      <c r="E750">
        <v>47.25</v>
      </c>
      <c r="F750" t="str">
        <v>Ripley</v>
      </c>
      <c r="G750" t="str">
        <v>Setiembre</v>
      </c>
    </row>
    <row r="751">
      <c r="A751" t="str">
        <v>Egreso</v>
      </c>
      <c r="B751">
        <v>46269</v>
      </c>
      <c r="C751" t="str">
        <v>Gasto</v>
      </c>
      <c r="D751" t="str">
        <v>Mayonesa</v>
      </c>
      <c r="E751">
        <v>9.9</v>
      </c>
      <c r="F751" t="str">
        <v>Interbank Amex</v>
      </c>
      <c r="G751" t="str">
        <v>Setiembre</v>
      </c>
    </row>
    <row r="752">
      <c r="A752" t="str">
        <v>Egreso</v>
      </c>
      <c r="B752">
        <v>46269</v>
      </c>
      <c r="C752" t="str">
        <v>Gasto</v>
      </c>
      <c r="D752" t="str">
        <v>Gaseosa</v>
      </c>
      <c r="E752">
        <v>5</v>
      </c>
      <c r="F752" t="str">
        <v>Interbank Amex</v>
      </c>
      <c r="G752" t="str">
        <v>Setiembre</v>
      </c>
    </row>
    <row r="753">
      <c r="A753" t="str">
        <v>Egreso</v>
      </c>
      <c r="B753">
        <v>46269</v>
      </c>
      <c r="C753" t="str">
        <v>Gasto</v>
      </c>
      <c r="D753" t="str">
        <v>Futbol</v>
      </c>
      <c r="E753">
        <v>10</v>
      </c>
      <c r="F753" t="str">
        <v>Interbank</v>
      </c>
      <c r="G753" t="str">
        <v>Setiembre</v>
      </c>
    </row>
    <row r="754">
      <c r="A754" t="str">
        <v>Egreso</v>
      </c>
      <c r="B754">
        <v>46269</v>
      </c>
      <c r="C754" t="str">
        <v>Gasto</v>
      </c>
      <c r="D754" t="str">
        <v>Gaseosa</v>
      </c>
      <c r="E754">
        <v>3</v>
      </c>
      <c r="F754" t="str">
        <v>Interbank</v>
      </c>
      <c r="G754" t="str">
        <v>Setiembre</v>
      </c>
    </row>
    <row r="755">
      <c r="A755" t="str">
        <v>Egreso</v>
      </c>
      <c r="B755">
        <v>46269</v>
      </c>
      <c r="C755" t="str">
        <v>Gasto</v>
      </c>
      <c r="D755" t="str">
        <v>Taxi</v>
      </c>
      <c r="E755">
        <v>8.5</v>
      </c>
      <c r="F755" t="str">
        <v>Interbank</v>
      </c>
      <c r="G755" t="str">
        <v>Setiembre</v>
      </c>
    </row>
    <row r="756">
      <c r="A756" t="str">
        <v>Egreso</v>
      </c>
      <c r="B756">
        <v>46270</v>
      </c>
      <c r="C756" t="str">
        <v>Gasto</v>
      </c>
      <c r="D756" t="str">
        <v>Broaster</v>
      </c>
      <c r="E756">
        <v>11</v>
      </c>
      <c r="F756" t="str">
        <v>Interbank</v>
      </c>
      <c r="G756" t="str">
        <v>Setiembre</v>
      </c>
    </row>
    <row r="757">
      <c r="A757" t="str">
        <v>Egreso</v>
      </c>
      <c r="B757">
        <v>46270</v>
      </c>
      <c r="C757" t="str">
        <v>Gasto</v>
      </c>
      <c r="D757" t="str">
        <v>Galleta</v>
      </c>
      <c r="E757">
        <v>2.5</v>
      </c>
      <c r="F757" t="str">
        <v>Interbank</v>
      </c>
      <c r="G757" t="str">
        <v>Setiembre</v>
      </c>
    </row>
    <row r="758">
      <c r="A758" t="str">
        <v>Egreso</v>
      </c>
      <c r="B758">
        <v>46270</v>
      </c>
      <c r="C758" t="str">
        <v>Gasto</v>
      </c>
      <c r="D758" t="str">
        <v>Detergente</v>
      </c>
      <c r="E758">
        <v>8</v>
      </c>
      <c r="F758" t="str">
        <v>Ripley</v>
      </c>
      <c r="G758" t="str">
        <v>Setiembre</v>
      </c>
    </row>
    <row r="759">
      <c r="A759" t="str">
        <v>Egreso</v>
      </c>
      <c r="B759">
        <v>46270</v>
      </c>
      <c r="C759" t="str">
        <v>Gasto</v>
      </c>
      <c r="D759" t="str">
        <v>Bus</v>
      </c>
      <c r="E759">
        <v>1</v>
      </c>
      <c r="F759" t="str">
        <v>Interbank</v>
      </c>
      <c r="G759" t="str">
        <v>Setiembre</v>
      </c>
    </row>
    <row r="760">
      <c r="A760" t="str">
        <v>Egreso</v>
      </c>
      <c r="B760">
        <v>46270</v>
      </c>
      <c r="C760" t="str">
        <v>Gasto</v>
      </c>
      <c r="D760" t="str">
        <v>Makis</v>
      </c>
      <c r="E760">
        <v>59</v>
      </c>
      <c r="F760" t="str">
        <v>Ripley</v>
      </c>
      <c r="G760" t="str">
        <v>Setiembre</v>
      </c>
    </row>
    <row r="761">
      <c r="A761" t="str">
        <v>Egreso</v>
      </c>
      <c r="B761">
        <v>46270</v>
      </c>
      <c r="C761" t="str">
        <v>Gasto</v>
      </c>
      <c r="D761" t="str">
        <v>Bus</v>
      </c>
      <c r="E761">
        <v>3.5</v>
      </c>
      <c r="F761" t="str">
        <v>Interbank</v>
      </c>
      <c r="G761" t="str">
        <v>Setiembre</v>
      </c>
    </row>
    <row r="762">
      <c r="A762" t="str">
        <v>Egreso</v>
      </c>
      <c r="B762">
        <v>46271</v>
      </c>
      <c r="C762" t="str">
        <v>Gasto</v>
      </c>
      <c r="D762" t="str">
        <v>Gaseosa</v>
      </c>
      <c r="E762">
        <v>6.9</v>
      </c>
      <c r="F762" t="str">
        <v>Interbank Amex</v>
      </c>
      <c r="G762" t="str">
        <v>Setiembre</v>
      </c>
    </row>
    <row r="763">
      <c r="A763" t="str">
        <v>Egreso</v>
      </c>
      <c r="B763">
        <v>46271</v>
      </c>
      <c r="C763" t="str">
        <v>Gasto</v>
      </c>
      <c r="D763" t="str">
        <v>Casaca</v>
      </c>
      <c r="E763">
        <v>84.5</v>
      </c>
      <c r="F763" t="str">
        <v>Interbank Amex</v>
      </c>
      <c r="G763" t="str">
        <v>Setiembre</v>
      </c>
    </row>
    <row r="764">
      <c r="A764" t="str">
        <v>Egreso</v>
      </c>
      <c r="B764">
        <v>46271</v>
      </c>
      <c r="C764" t="str">
        <v>Gasto</v>
      </c>
      <c r="D764" t="str">
        <v>Bus</v>
      </c>
      <c r="E764">
        <v>3.5</v>
      </c>
      <c r="F764" t="str">
        <v>Interbank</v>
      </c>
      <c r="G764" t="str">
        <v>Setiembre</v>
      </c>
    </row>
    <row r="765">
      <c r="A765" t="str">
        <v>Egreso</v>
      </c>
      <c r="B765">
        <v>46271</v>
      </c>
      <c r="C765" t="str">
        <v>Gasto</v>
      </c>
      <c r="D765" t="str">
        <v>Pollo a la Brasa</v>
      </c>
      <c r="E765">
        <v>25.5</v>
      </c>
      <c r="F765" t="str">
        <v>Interbank Amex</v>
      </c>
      <c r="G765" t="str">
        <v>Setiembre</v>
      </c>
    </row>
    <row r="766">
      <c r="A766" t="str">
        <v>Egreso</v>
      </c>
      <c r="B766">
        <v>46271</v>
      </c>
      <c r="C766" t="str">
        <v>Gasto</v>
      </c>
      <c r="D766" t="str">
        <v>Case</v>
      </c>
      <c r="E766">
        <v>25</v>
      </c>
      <c r="F766" t="str">
        <v>Interbank Amex</v>
      </c>
      <c r="G766" t="str">
        <v>Setiembre</v>
      </c>
    </row>
    <row r="767">
      <c r="A767" t="str">
        <v>Egreso</v>
      </c>
      <c r="B767">
        <v>46271</v>
      </c>
      <c r="C767" t="str">
        <v>Gasto</v>
      </c>
      <c r="D767" t="str">
        <v>Bus</v>
      </c>
      <c r="E767">
        <v>7</v>
      </c>
      <c r="F767" t="str">
        <v>Interbank</v>
      </c>
      <c r="G767" t="str">
        <v>Setiembre</v>
      </c>
    </row>
    <row r="768">
      <c r="A768" t="str">
        <v>Egreso</v>
      </c>
      <c r="B768">
        <v>46272</v>
      </c>
      <c r="C768" t="str">
        <v>Gasto</v>
      </c>
      <c r="D768" t="str">
        <v>Bus</v>
      </c>
      <c r="E768">
        <v>13</v>
      </c>
      <c r="F768" t="str">
        <v>Interbank</v>
      </c>
      <c r="G768" t="str">
        <v>Setiembre</v>
      </c>
    </row>
    <row r="769">
      <c r="A769" t="str">
        <v>Egreso</v>
      </c>
      <c r="B769">
        <v>46280</v>
      </c>
      <c r="C769" t="str">
        <v>Otro Egre</v>
      </c>
      <c r="D769" t="str">
        <v>Titulación</v>
      </c>
      <c r="E769">
        <v>80</v>
      </c>
      <c r="F769" t="str">
        <v>Interbank</v>
      </c>
      <c r="G769" t="str">
        <v>Setiembre</v>
      </c>
    </row>
    <row r="770">
      <c r="A770" t="str">
        <v>Egreso</v>
      </c>
      <c r="B770">
        <v>46280</v>
      </c>
      <c r="C770" t="str">
        <v>Deuda</v>
      </c>
      <c r="D770" t="str">
        <v>Prestamo BCP</v>
      </c>
      <c r="E770">
        <v>143.16</v>
      </c>
      <c r="F770" t="str">
        <v>Interbank</v>
      </c>
      <c r="G770" t="str">
        <v>Setiembre</v>
      </c>
    </row>
    <row r="771">
      <c r="A771" t="str">
        <v>Egreso</v>
      </c>
      <c r="B771">
        <v>46288</v>
      </c>
      <c r="C771" t="str">
        <v>Servicio</v>
      </c>
      <c r="D771" t="str">
        <v>iCloud</v>
      </c>
      <c r="E771">
        <v>15</v>
      </c>
      <c r="F771" t="str">
        <v>Interbank</v>
      </c>
      <c r="G771" t="str">
        <v>Setiembre</v>
      </c>
    </row>
    <row r="772">
      <c r="A772" t="str">
        <v>Ingreso</v>
      </c>
      <c r="B772">
        <v>46082</v>
      </c>
      <c r="C772" t="str">
        <v>Otro Ing</v>
      </c>
      <c r="D772" t="str">
        <v>Ahorro Diciembre 25</v>
      </c>
      <c r="E772">
        <v>3002</v>
      </c>
      <c r="F772" t="str">
        <v>Interbank</v>
      </c>
      <c r="G772" t="str">
        <v>Marzo</v>
      </c>
    </row>
  </sheetData>
  <ignoredErrors>
    <ignoredError numberStoredAsText="1" sqref="A1:G77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R288"/>
  <sheetViews>
    <sheetView workbookViewId="0" rightToLeft="0"/>
  </sheetViews>
  <sheetData>
    <row r="2">
      <c r="B2" t="str">
        <v>Presupuesto Fijo Mensual</v>
      </c>
      <c r="E2" t="str">
        <v>Octubre</v>
      </c>
      <c r="K2" t="str">
        <v>Interbank</v>
      </c>
      <c r="N2" t="str">
        <v>Interbank Amex</v>
      </c>
    </row>
    <row r="3">
      <c r="B3" t="str">
        <v>Tipo</v>
      </c>
      <c r="C3" t="str">
        <v>Fecha</v>
      </c>
      <c r="D3" t="str">
        <v>Categoría</v>
      </c>
      <c r="E3" t="str">
        <v>Concepto</v>
      </c>
      <c r="F3" t="str">
        <v>Monto</v>
      </c>
      <c r="G3" t="str">
        <v>Entidad</v>
      </c>
      <c r="K3" t="str">
        <v>Debito</v>
      </c>
      <c r="L3" t="e">
        <f>F5-L15+F4</f>
        <v>#REF!</v>
      </c>
      <c r="N3" t="str">
        <v>Credito</v>
      </c>
      <c r="O3">
        <f>1000-O6</f>
        <v>988</v>
      </c>
      <c r="Q3" t="str">
        <v>Saldo Final</v>
      </c>
      <c r="R3" t="e">
        <f>L3+O3+O9</f>
        <v>#REF!</v>
      </c>
    </row>
    <row r="4">
      <c r="B4" t="str">
        <v>Ingreso</v>
      </c>
      <c r="C4">
        <v>46296</v>
      </c>
      <c r="D4" t="str">
        <v>Otro Ing</v>
      </c>
      <c r="E4" t="str">
        <v>Bonificación Ahorro</v>
      </c>
      <c r="F4">
        <v>0</v>
      </c>
      <c r="G4" t="str">
        <v>Interbank</v>
      </c>
    </row>
    <row r="5">
      <c r="B5" t="str">
        <v>Ingreso</v>
      </c>
      <c r="C5">
        <v>46296</v>
      </c>
      <c r="D5" t="str">
        <v>Sueldo</v>
      </c>
      <c r="E5" t="str">
        <v>Sueldo</v>
      </c>
      <c r="F5">
        <v>2259.63</v>
      </c>
      <c r="G5" t="str">
        <v>Interbank</v>
      </c>
      <c r="K5" t="str">
        <v>Corte de Cabello</v>
      </c>
      <c r="L5">
        <v>20</v>
      </c>
      <c r="N5" t="str">
        <v>Spotify</v>
      </c>
      <c r="O5">
        <v>12</v>
      </c>
    </row>
    <row r="6">
      <c r="B6" t="str">
        <v>Egreso</v>
      </c>
      <c r="C6">
        <v>46296</v>
      </c>
      <c r="D6" t="str">
        <v>Servicio</v>
      </c>
      <c r="E6" t="str">
        <v>Spotify</v>
      </c>
      <c r="F6">
        <v>12</v>
      </c>
      <c r="G6" t="str">
        <v>Interbank Amex</v>
      </c>
      <c r="K6" t="str">
        <v>iPhone 16</v>
      </c>
      <c r="L6">
        <v>245.75</v>
      </c>
      <c r="O6">
        <f>SUM(O5)</f>
        <v>12</v>
      </c>
    </row>
    <row r="7">
      <c r="B7" t="str">
        <v>Egreso</v>
      </c>
      <c r="C7">
        <v>46296</v>
      </c>
      <c r="D7" t="str">
        <v>Servicio</v>
      </c>
      <c r="E7" t="str">
        <v>Internet</v>
      </c>
      <c r="F7">
        <v>79</v>
      </c>
      <c r="G7" t="str">
        <v>BBVA Bfree</v>
      </c>
      <c r="K7" t="str">
        <v>Pago de Tarjeta Ripley</v>
      </c>
      <c r="L7" t="e">
        <f>F11</f>
        <v>#REF!</v>
      </c>
    </row>
    <row r="8">
      <c r="B8" t="str">
        <v>Egreso</v>
      </c>
      <c r="C8">
        <v>46296</v>
      </c>
      <c r="D8" t="str">
        <v>Servicio</v>
      </c>
      <c r="E8" t="str">
        <v>Gas</v>
      </c>
      <c r="F8">
        <v>50</v>
      </c>
      <c r="G8" t="str">
        <v>BBVA Bfree</v>
      </c>
      <c r="K8" t="str">
        <v>Prestamo Yape</v>
      </c>
      <c r="L8">
        <v>116.85</v>
      </c>
      <c r="N8" t="str">
        <v>BBVA Bfree</v>
      </c>
    </row>
    <row r="9">
      <c r="B9" t="str">
        <v>Egreso</v>
      </c>
      <c r="C9">
        <v>46296</v>
      </c>
      <c r="D9" t="str">
        <v>Servicio</v>
      </c>
      <c r="E9" t="str">
        <v>Corte de Cabello</v>
      </c>
      <c r="F9">
        <v>20</v>
      </c>
      <c r="G9" t="str">
        <v>Interbank</v>
      </c>
      <c r="K9" t="str">
        <v>Agua + Mantenimiento</v>
      </c>
      <c r="L9">
        <v>160</v>
      </c>
      <c r="N9" t="str">
        <v>Credito</v>
      </c>
      <c r="O9">
        <f>700-O15</f>
        <v>411.1</v>
      </c>
    </row>
    <row r="10">
      <c r="B10" t="str">
        <v>Egreso</v>
      </c>
      <c r="C10">
        <v>46296</v>
      </c>
      <c r="D10" t="str">
        <v>Deuda</v>
      </c>
      <c r="E10" t="str">
        <v>iPhone 16</v>
      </c>
      <c r="F10">
        <v>245.75</v>
      </c>
      <c r="G10" t="str">
        <v>Interbank</v>
      </c>
      <c r="K10" t="str">
        <v>Pago de Tarjeta Interbank Amex</v>
      </c>
      <c r="L10" t="e">
        <f>F15</f>
        <v>#REF!</v>
      </c>
    </row>
    <row r="11">
      <c r="B11" t="str">
        <v>Egreso</v>
      </c>
      <c r="C11">
        <v>46296</v>
      </c>
      <c r="D11" t="str">
        <v>Servicio</v>
      </c>
      <c r="E11" t="str">
        <v>Pago de Tarjeta Ripley</v>
      </c>
      <c r="F11" t="e">
        <f>Estadistica!D29</f>
        <v>#REF!</v>
      </c>
      <c r="G11" t="str">
        <v>Interbank</v>
      </c>
      <c r="K11" t="str">
        <v>Pago de Tarjeta BBVA Bfree</v>
      </c>
      <c r="L11">
        <f>F16</f>
        <v>211.57</v>
      </c>
      <c r="N11" t="str">
        <v>Internet</v>
      </c>
      <c r="O11">
        <v>79</v>
      </c>
    </row>
    <row r="12">
      <c r="B12" t="str">
        <v>Egreso</v>
      </c>
      <c r="C12">
        <v>46296</v>
      </c>
      <c r="D12" t="str">
        <v>Deuda</v>
      </c>
      <c r="E12" t="str">
        <v>Prestamo Yape</v>
      </c>
      <c r="F12">
        <v>116.85</v>
      </c>
      <c r="G12" t="str">
        <v>Interbank</v>
      </c>
      <c r="K12" t="str">
        <v>Prestamo BCP</v>
      </c>
      <c r="L12">
        <v>143.16</v>
      </c>
      <c r="N12" t="str">
        <v>Luz</v>
      </c>
      <c r="O12">
        <f>F18</f>
        <v>120</v>
      </c>
    </row>
    <row r="13">
      <c r="B13" t="str">
        <v>Egreso</v>
      </c>
      <c r="C13">
        <v>46299</v>
      </c>
      <c r="D13" t="str">
        <v>Gasto</v>
      </c>
      <c r="E13" t="str">
        <v>Pastilla Madre</v>
      </c>
      <c r="F13">
        <v>120</v>
      </c>
      <c r="G13" t="str">
        <v>Ripley</v>
      </c>
      <c r="K13" t="str">
        <v>Titulación</v>
      </c>
      <c r="L13">
        <f>F20</f>
        <v>980</v>
      </c>
      <c r="N13" t="str">
        <v>Gas</v>
      </c>
      <c r="O13">
        <f>F8</f>
        <v>50</v>
      </c>
    </row>
    <row r="14">
      <c r="B14" t="str">
        <v>Egreso</v>
      </c>
      <c r="C14">
        <v>46296</v>
      </c>
      <c r="D14" t="str">
        <v>Servicio</v>
      </c>
      <c r="E14" t="str">
        <v>Agua + Mantenimiento</v>
      </c>
      <c r="F14">
        <v>160</v>
      </c>
      <c r="G14" t="str">
        <v>Interbank</v>
      </c>
      <c r="K14" t="str">
        <v>iCloud</v>
      </c>
      <c r="L14">
        <v>15</v>
      </c>
      <c r="N14" t="str">
        <v>Telefonia Movil</v>
      </c>
      <c r="O14">
        <v>39.9</v>
      </c>
    </row>
    <row r="15">
      <c r="B15" t="str">
        <v>Egreso</v>
      </c>
      <c r="C15">
        <v>46300</v>
      </c>
      <c r="D15" t="str">
        <v>Servicio</v>
      </c>
      <c r="E15" t="str">
        <v>Pago de Tarjeta Interbank Amex</v>
      </c>
      <c r="F15" t="e">
        <f>Estadistica!D27</f>
        <v>#REF!</v>
      </c>
      <c r="G15" t="str">
        <v>Interbank</v>
      </c>
      <c r="L15" t="e">
        <f>SUM(L5:L14)</f>
        <v>#REF!</v>
      </c>
      <c r="O15">
        <f>SUM(O11:O14)</f>
        <v>288.9</v>
      </c>
    </row>
    <row r="16">
      <c r="B16" t="str">
        <v>Egreso</v>
      </c>
      <c r="C16">
        <v>46300</v>
      </c>
      <c r="D16" t="str">
        <v>Servicio</v>
      </c>
      <c r="E16" t="str">
        <v>Pago de Tarjeta BBVA Bfree</v>
      </c>
      <c r="F16">
        <v>211.57</v>
      </c>
      <c r="G16" t="str">
        <v>Interbank</v>
      </c>
      <c r="N16" t="str">
        <v>Ripley</v>
      </c>
    </row>
    <row r="17">
      <c r="B17" t="str">
        <v>Egreso</v>
      </c>
      <c r="C17">
        <v>46306</v>
      </c>
      <c r="D17" t="str">
        <v>Servicio</v>
      </c>
      <c r="E17" t="str">
        <v>Telefonia Movil</v>
      </c>
      <c r="F17">
        <v>39.9</v>
      </c>
      <c r="G17" t="str">
        <v>BBVA Bfree</v>
      </c>
      <c r="N17" t="str">
        <v>Credito</v>
      </c>
      <c r="O17">
        <f>1000-O20</f>
        <v>880</v>
      </c>
    </row>
    <row r="18">
      <c r="B18" t="str">
        <v>Egreso</v>
      </c>
      <c r="C18">
        <v>46276</v>
      </c>
      <c r="D18" t="str">
        <v>Servicio</v>
      </c>
      <c r="E18" t="str">
        <v>Luz</v>
      </c>
      <c r="F18">
        <v>120</v>
      </c>
      <c r="G18" t="str">
        <v>BBVA Bfree</v>
      </c>
      <c r="K18" t="str">
        <v>Probabilidad</v>
      </c>
    </row>
    <row r="19">
      <c r="B19" t="str">
        <v>Egreso</v>
      </c>
      <c r="C19">
        <v>46310</v>
      </c>
      <c r="D19" t="str">
        <v>Deuda</v>
      </c>
      <c r="E19" t="str">
        <v>Prestamo BCP</v>
      </c>
      <c r="F19">
        <v>143.16</v>
      </c>
      <c r="G19" t="str">
        <v>Interbank</v>
      </c>
      <c r="K19" t="str">
        <v>Sueldo</v>
      </c>
      <c r="L19">
        <v>2700</v>
      </c>
      <c r="N19" t="str">
        <v>Pastilla Madre</v>
      </c>
      <c r="O19">
        <v>120</v>
      </c>
    </row>
    <row r="20">
      <c r="B20" t="str">
        <v>Egreso</v>
      </c>
      <c r="C20">
        <v>46310</v>
      </c>
      <c r="D20" t="str">
        <v>Otro Egre</v>
      </c>
      <c r="E20" t="str">
        <v>Titulación</v>
      </c>
      <c r="F20">
        <v>980</v>
      </c>
      <c r="G20" t="str">
        <v>Interbank</v>
      </c>
      <c r="O20">
        <f>SUM(O19)</f>
        <v>120</v>
      </c>
    </row>
    <row r="21">
      <c r="B21" t="str">
        <v>Egreso</v>
      </c>
      <c r="C21">
        <v>46318</v>
      </c>
      <c r="D21" t="str">
        <v>Servicio</v>
      </c>
      <c r="E21" t="str">
        <v>iCloud</v>
      </c>
      <c r="F21">
        <v>15</v>
      </c>
      <c r="G21" t="str">
        <v>Interbank</v>
      </c>
    </row>
    <row r="25">
      <c r="B25" t="str">
        <v>Presupuesto Fijo Mensual</v>
      </c>
      <c r="E25" t="str">
        <v>Noviembre</v>
      </c>
      <c r="K25" t="str">
        <v>Interbank</v>
      </c>
      <c r="N25" t="str">
        <v>Interbank Amex</v>
      </c>
    </row>
    <row r="26">
      <c r="B26" t="str">
        <v>Tipo</v>
      </c>
      <c r="C26" t="str">
        <v>Fecha</v>
      </c>
      <c r="D26" t="str">
        <v>Categoría</v>
      </c>
      <c r="E26" t="str">
        <v>Concepto</v>
      </c>
      <c r="F26" t="str">
        <v>Monto</v>
      </c>
      <c r="G26" t="str">
        <v>Entidad</v>
      </c>
      <c r="K26" t="str">
        <v>Debito</v>
      </c>
      <c r="L26">
        <f>F28-L39+F27+F44</f>
        <v>1717.97</v>
      </c>
      <c r="N26" t="str">
        <v>Credito</v>
      </c>
      <c r="O26">
        <f>1000-O31</f>
        <v>828.1</v>
      </c>
      <c r="Q26" t="str">
        <v>Saldo Final</v>
      </c>
      <c r="R26">
        <f>L26+O26+O34</f>
        <v>2997.07</v>
      </c>
    </row>
    <row r="27">
      <c r="B27" t="str">
        <v>Ingreso</v>
      </c>
      <c r="C27">
        <v>46327</v>
      </c>
      <c r="D27" t="str">
        <v>Otro Ing</v>
      </c>
      <c r="E27" t="str">
        <v>Bonificación Ahorro</v>
      </c>
      <c r="F27">
        <v>0</v>
      </c>
      <c r="G27" t="str">
        <v>Interbank</v>
      </c>
    </row>
    <row r="28">
      <c r="B28" t="str">
        <v>Ingreso</v>
      </c>
      <c r="C28">
        <v>46327</v>
      </c>
      <c r="D28" t="str">
        <v>Sueldo</v>
      </c>
      <c r="E28" t="str">
        <v>Sueldo</v>
      </c>
      <c r="F28">
        <v>2259.63</v>
      </c>
      <c r="G28" t="str">
        <v>Interbank</v>
      </c>
      <c r="K28" t="str">
        <v>Corte de Cabello</v>
      </c>
      <c r="L28">
        <v>20</v>
      </c>
      <c r="N28" t="str">
        <v>Spotify</v>
      </c>
      <c r="O28">
        <v>12</v>
      </c>
    </row>
    <row r="29">
      <c r="B29" t="str">
        <v>Egreso</v>
      </c>
      <c r="C29">
        <v>46327</v>
      </c>
      <c r="D29" t="str">
        <v>Servicio</v>
      </c>
      <c r="E29" t="str">
        <v>Spotify</v>
      </c>
      <c r="F29">
        <v>12</v>
      </c>
      <c r="G29" t="str">
        <v>Interbank Amex</v>
      </c>
      <c r="K29" t="str">
        <v>iPhone 16</v>
      </c>
      <c r="L29">
        <v>245.75</v>
      </c>
      <c r="N29" t="str">
        <v>Pastilla Madre</v>
      </c>
      <c r="O29">
        <v>120</v>
      </c>
    </row>
    <row r="30">
      <c r="B30" t="str">
        <v>Egreso</v>
      </c>
      <c r="C30">
        <v>46327</v>
      </c>
      <c r="D30" t="str">
        <v>Servicio</v>
      </c>
      <c r="E30" t="str">
        <v>Internet</v>
      </c>
      <c r="F30">
        <v>79</v>
      </c>
      <c r="G30" t="str">
        <v>BBVA Bfree</v>
      </c>
      <c r="K30" t="str">
        <v>Pago de Tarjeta Ripley</v>
      </c>
      <c r="L30">
        <f>F35</f>
        <v>0</v>
      </c>
      <c r="N30" t="str">
        <v>Telefonia Movil</v>
      </c>
      <c r="O30">
        <v>39.9</v>
      </c>
    </row>
    <row r="31">
      <c r="B31" t="str">
        <v>Egreso</v>
      </c>
      <c r="C31">
        <v>46327</v>
      </c>
      <c r="D31" t="str">
        <v>Servicio</v>
      </c>
      <c r="E31" t="str">
        <v>Gas</v>
      </c>
      <c r="F31">
        <v>50</v>
      </c>
      <c r="G31" t="str">
        <v>BBVA Bfree</v>
      </c>
      <c r="K31" t="str">
        <v>Prestamo Yape</v>
      </c>
      <c r="L31">
        <v>116.85</v>
      </c>
      <c r="O31">
        <f>SUM(O28:O30)</f>
        <v>171.9</v>
      </c>
    </row>
    <row r="32">
      <c r="B32" t="str">
        <v>Egreso</v>
      </c>
      <c r="C32">
        <v>46327</v>
      </c>
      <c r="D32" t="str">
        <v>Servicio</v>
      </c>
      <c r="E32" t="str">
        <v>Corte de Cabello</v>
      </c>
      <c r="F32">
        <v>20</v>
      </c>
      <c r="G32" t="str">
        <v>Interbank</v>
      </c>
      <c r="K32" t="str">
        <v>Daniel</v>
      </c>
      <c r="L32">
        <v>500</v>
      </c>
    </row>
    <row r="33">
      <c r="B33" t="str">
        <v>Egreso</v>
      </c>
      <c r="C33">
        <v>46327</v>
      </c>
      <c r="D33" t="str">
        <v>Deuda</v>
      </c>
      <c r="E33" t="str">
        <v>iPhone 16</v>
      </c>
      <c r="F33">
        <v>245.75</v>
      </c>
      <c r="G33" t="str">
        <v>Interbank</v>
      </c>
      <c r="K33" t="str">
        <v>Agua + Mantenimiento</v>
      </c>
      <c r="L33">
        <v>160</v>
      </c>
      <c r="N33" t="str">
        <v>BBVA Bfree</v>
      </c>
    </row>
    <row r="34">
      <c r="B34" t="str">
        <v>Egreso</v>
      </c>
      <c r="C34">
        <v>46327</v>
      </c>
      <c r="D34" t="str">
        <v>Gasto</v>
      </c>
      <c r="E34" t="str">
        <v>Pastilla Madre</v>
      </c>
      <c r="F34">
        <v>120</v>
      </c>
      <c r="G34" t="str">
        <v>Interbank Amex</v>
      </c>
      <c r="K34" t="str">
        <v>Pago de Tarjeta Interbank Amex</v>
      </c>
      <c r="L34">
        <f>F39</f>
        <v>12</v>
      </c>
      <c r="N34" t="str">
        <v>Credito</v>
      </c>
      <c r="O34">
        <f>700-O39</f>
        <v>451</v>
      </c>
    </row>
    <row r="35">
      <c r="B35" t="str">
        <v>Egreso</v>
      </c>
      <c r="C35">
        <v>46327</v>
      </c>
      <c r="D35" t="str">
        <v>Servicio</v>
      </c>
      <c r="E35" t="str">
        <v>Pago de Tarjeta Ripley</v>
      </c>
      <c r="F35">
        <v>0</v>
      </c>
      <c r="G35" t="str">
        <v>Interbank</v>
      </c>
      <c r="K35" t="str">
        <v>Pago de Tarjeta BBVA Bfree</v>
      </c>
      <c r="L35">
        <f>F40</f>
        <v>288.9</v>
      </c>
    </row>
    <row r="36">
      <c r="B36" t="str">
        <v>Egreso</v>
      </c>
      <c r="C36">
        <v>46327</v>
      </c>
      <c r="D36" t="str">
        <v>Deuda</v>
      </c>
      <c r="E36" t="str">
        <v>Prestamo Yape</v>
      </c>
      <c r="F36">
        <v>116.85</v>
      </c>
      <c r="G36" t="str">
        <v>Interbank</v>
      </c>
      <c r="K36" t="str">
        <v>Prestamo BCP</v>
      </c>
      <c r="L36">
        <v>143.16</v>
      </c>
      <c r="N36" t="str">
        <v>Internet</v>
      </c>
      <c r="O36">
        <v>79</v>
      </c>
    </row>
    <row r="37">
      <c r="B37" t="str">
        <v>Egreso</v>
      </c>
      <c r="C37">
        <v>46327</v>
      </c>
      <c r="D37" t="str">
        <v>Deuda</v>
      </c>
      <c r="E37" t="str">
        <v>Daniel</v>
      </c>
      <c r="F37">
        <v>500</v>
      </c>
      <c r="G37" t="str">
        <v>Interbank</v>
      </c>
      <c r="K37" t="str">
        <v>Titulación</v>
      </c>
      <c r="L37">
        <f>F45</f>
        <v>520</v>
      </c>
      <c r="N37" t="str">
        <v>Luz</v>
      </c>
      <c r="O37">
        <f>F41</f>
        <v>120</v>
      </c>
    </row>
    <row r="38">
      <c r="B38" t="str">
        <v>Egreso</v>
      </c>
      <c r="C38">
        <v>46327</v>
      </c>
      <c r="D38" t="str">
        <v>Servicio</v>
      </c>
      <c r="E38" t="str">
        <v>Agua + Mantenimiento</v>
      </c>
      <c r="F38">
        <v>160</v>
      </c>
      <c r="G38" t="str">
        <v>Interbank</v>
      </c>
      <c r="K38" t="str">
        <v>iCloud</v>
      </c>
      <c r="L38">
        <v>15</v>
      </c>
      <c r="N38" t="str">
        <v>Gas</v>
      </c>
      <c r="O38">
        <f>F31</f>
        <v>50</v>
      </c>
    </row>
    <row r="39">
      <c r="B39" t="str">
        <v>Egreso</v>
      </c>
      <c r="C39">
        <v>46331</v>
      </c>
      <c r="D39" t="str">
        <v>Servicio</v>
      </c>
      <c r="E39" t="str">
        <v>Pago de Tarjeta Interbank Amex</v>
      </c>
      <c r="F39">
        <f>O6</f>
        <v>12</v>
      </c>
      <c r="G39" t="str">
        <v>Interbank</v>
      </c>
      <c r="L39">
        <f>SUM(L28:L38)</f>
        <v>2021.66</v>
      </c>
      <c r="O39">
        <f>SUM(O36:O38)</f>
        <v>249</v>
      </c>
    </row>
    <row r="40">
      <c r="B40" t="str">
        <v>Egreso</v>
      </c>
      <c r="C40">
        <v>46300</v>
      </c>
      <c r="D40" t="str">
        <v>Servicio</v>
      </c>
      <c r="E40" t="str">
        <v>Pago de Tarjeta BBVA Bfree</v>
      </c>
      <c r="F40">
        <f>O15</f>
        <v>288.9</v>
      </c>
      <c r="G40" t="str">
        <v>Interbank</v>
      </c>
    </row>
    <row r="41">
      <c r="B41" t="str">
        <v>Egreso</v>
      </c>
      <c r="C41">
        <v>46337</v>
      </c>
      <c r="D41" t="str">
        <v>Servicio</v>
      </c>
      <c r="E41" t="str">
        <v>Luz</v>
      </c>
      <c r="F41">
        <v>120</v>
      </c>
      <c r="G41" t="str">
        <v>BBVA Bfree</v>
      </c>
    </row>
    <row r="42">
      <c r="B42" t="str">
        <v>Egreso</v>
      </c>
      <c r="C42">
        <v>46337</v>
      </c>
      <c r="D42" t="str">
        <v>Servicio</v>
      </c>
      <c r="E42" t="str">
        <v>Telefonia Movil</v>
      </c>
      <c r="F42">
        <v>39.9</v>
      </c>
      <c r="G42" t="str">
        <v>Interbank Amex</v>
      </c>
      <c r="N42" t="str">
        <v>Probabilidad</v>
      </c>
    </row>
    <row r="43">
      <c r="B43" t="str">
        <v>Egreso</v>
      </c>
      <c r="C43">
        <v>46341</v>
      </c>
      <c r="D43" t="str">
        <v>Deuda</v>
      </c>
      <c r="E43" t="str">
        <v>Prestamo BCP</v>
      </c>
      <c r="F43">
        <v>143.16</v>
      </c>
      <c r="G43" t="str">
        <v>Interbank</v>
      </c>
      <c r="N43" t="str">
        <v>CTS</v>
      </c>
      <c r="O43">
        <v>1800</v>
      </c>
    </row>
    <row r="44">
      <c r="B44" t="str">
        <v>Ingreso</v>
      </c>
      <c r="C44">
        <v>46341</v>
      </c>
      <c r="D44" t="str">
        <v>Sueldo</v>
      </c>
      <c r="E44" t="str">
        <v>CTS</v>
      </c>
      <c r="F44">
        <v>1480</v>
      </c>
      <c r="G44" t="str">
        <v>Interbank</v>
      </c>
    </row>
    <row r="45">
      <c r="B45" t="str">
        <v>Egreso</v>
      </c>
      <c r="C45">
        <v>46341</v>
      </c>
      <c r="D45" t="str">
        <v>Otro Egre</v>
      </c>
      <c r="E45" t="str">
        <v>Titulación</v>
      </c>
      <c r="F45">
        <f>260+260</f>
        <v>520</v>
      </c>
      <c r="G45" t="str">
        <v>Interbank</v>
      </c>
    </row>
    <row r="46">
      <c r="B46" t="str">
        <v>Egreso</v>
      </c>
      <c r="C46">
        <v>46349</v>
      </c>
      <c r="D46" t="str">
        <v>Servicio</v>
      </c>
      <c r="E46" t="str">
        <v>iCloud</v>
      </c>
      <c r="F46">
        <v>15</v>
      </c>
      <c r="G46" t="str">
        <v>Interbank</v>
      </c>
    </row>
    <row r="50">
      <c r="B50" t="str">
        <v>Presupuesto Fijo Mensual</v>
      </c>
      <c r="E50" t="str">
        <v>Diciembre</v>
      </c>
      <c r="K50" t="str">
        <v>Interbank</v>
      </c>
      <c r="N50" t="str">
        <v>Interbank Amex</v>
      </c>
    </row>
    <row r="51">
      <c r="B51" t="str">
        <v>Tipo</v>
      </c>
      <c r="C51" t="str">
        <v>Fecha</v>
      </c>
      <c r="D51" t="str">
        <v>Categoría</v>
      </c>
      <c r="E51" t="str">
        <v>Concepto</v>
      </c>
      <c r="F51" t="str">
        <v>Monto</v>
      </c>
      <c r="G51" t="str">
        <v>Entidad</v>
      </c>
      <c r="K51" t="str">
        <v>Debito</v>
      </c>
      <c r="L51">
        <f>F53-L63+F52+F68</f>
        <v>2317.9700000000003</v>
      </c>
      <c r="N51" t="str">
        <v>Credito</v>
      </c>
      <c r="O51">
        <f>1000-O56</f>
        <v>828.1</v>
      </c>
      <c r="Q51" t="str">
        <v>Saldo Final</v>
      </c>
      <c r="R51">
        <f>L51+O51+O59</f>
        <v>3597.07</v>
      </c>
    </row>
    <row r="52">
      <c r="B52" t="str">
        <v>Ingreso</v>
      </c>
      <c r="C52">
        <v>46357</v>
      </c>
      <c r="D52" t="str">
        <v>Otro Ing</v>
      </c>
      <c r="E52" t="str">
        <v>Bonificación Ahorro</v>
      </c>
      <c r="F52">
        <v>0</v>
      </c>
      <c r="G52" t="str">
        <v>Interbank</v>
      </c>
    </row>
    <row r="53">
      <c r="B53" t="str">
        <v>Ingreso</v>
      </c>
      <c r="C53">
        <v>46357</v>
      </c>
      <c r="D53" t="str">
        <v>Sueldo</v>
      </c>
      <c r="E53" t="str">
        <v>Sueldo</v>
      </c>
      <c r="F53">
        <v>2259.63</v>
      </c>
      <c r="G53" t="str">
        <v>Interbank</v>
      </c>
      <c r="K53" t="str">
        <v>Corte de Cabello</v>
      </c>
      <c r="L53">
        <v>20</v>
      </c>
      <c r="N53" t="str">
        <v>Spotify</v>
      </c>
      <c r="O53">
        <v>12</v>
      </c>
    </row>
    <row r="54">
      <c r="B54" t="str">
        <v>Egreso</v>
      </c>
      <c r="C54">
        <v>46357</v>
      </c>
      <c r="D54" t="str">
        <v>Servicio</v>
      </c>
      <c r="E54" t="str">
        <v>Spotify</v>
      </c>
      <c r="F54">
        <v>12</v>
      </c>
      <c r="G54" t="str">
        <v>Interbank Amex</v>
      </c>
      <c r="K54" t="str">
        <v>iPhone 16</v>
      </c>
      <c r="L54">
        <v>245.75</v>
      </c>
      <c r="N54" t="str">
        <v>Pastilla Madre</v>
      </c>
      <c r="O54">
        <v>120</v>
      </c>
    </row>
    <row r="55">
      <c r="B55" t="str">
        <v>Egreso</v>
      </c>
      <c r="C55">
        <v>46357</v>
      </c>
      <c r="D55" t="str">
        <v>Servicio</v>
      </c>
      <c r="E55" t="str">
        <v>Internet</v>
      </c>
      <c r="F55">
        <v>79</v>
      </c>
      <c r="G55" t="str">
        <v>BBVA Bfree</v>
      </c>
      <c r="K55" t="str">
        <v>Pago de Tarjeta Ripley</v>
      </c>
      <c r="L55">
        <f>F61</f>
        <v>0</v>
      </c>
      <c r="N55" t="str">
        <v>Telefonia Movil</v>
      </c>
      <c r="O55">
        <v>39.9</v>
      </c>
    </row>
    <row r="56">
      <c r="B56" t="str">
        <v>Egreso</v>
      </c>
      <c r="C56">
        <v>46357</v>
      </c>
      <c r="D56" t="str">
        <v>Servicio</v>
      </c>
      <c r="E56" t="str">
        <v>Luz</v>
      </c>
      <c r="F56">
        <v>120</v>
      </c>
      <c r="G56" t="str">
        <v>BBVA Bfree</v>
      </c>
      <c r="K56" t="str">
        <v>Prestamo Yape</v>
      </c>
      <c r="L56">
        <v>116.85</v>
      </c>
      <c r="O56">
        <f>SUM(O53:O55)</f>
        <v>171.9</v>
      </c>
    </row>
    <row r="57">
      <c r="B57" t="str">
        <v>Egreso</v>
      </c>
      <c r="C57">
        <v>46357</v>
      </c>
      <c r="D57" t="str">
        <v>Servicio</v>
      </c>
      <c r="E57" t="str">
        <v>Gas</v>
      </c>
      <c r="F57">
        <v>50</v>
      </c>
      <c r="G57" t="str">
        <v>BBVA Bfree</v>
      </c>
      <c r="K57" t="str">
        <v>Agua + Mantenimiento</v>
      </c>
      <c r="L57">
        <v>160</v>
      </c>
    </row>
    <row r="58">
      <c r="B58" t="str">
        <v>Egreso</v>
      </c>
      <c r="C58">
        <v>46357</v>
      </c>
      <c r="D58" t="str">
        <v>Servicio</v>
      </c>
      <c r="E58" t="str">
        <v>Corte de Cabello</v>
      </c>
      <c r="F58">
        <v>20</v>
      </c>
      <c r="G58" t="str">
        <v>Interbank</v>
      </c>
      <c r="K58" t="str">
        <v>Pago de Tarjeta Interbank Amex</v>
      </c>
      <c r="L58">
        <f>F64</f>
        <v>171.9</v>
      </c>
      <c r="N58" t="str">
        <v>BBVA Bfree</v>
      </c>
    </row>
    <row r="59">
      <c r="B59" t="str">
        <v>Egreso</v>
      </c>
      <c r="C59">
        <v>46357</v>
      </c>
      <c r="D59" t="str">
        <v>Deuda</v>
      </c>
      <c r="E59" t="str">
        <v>iPhone 16</v>
      </c>
      <c r="F59">
        <v>245.75</v>
      </c>
      <c r="G59" t="str">
        <v>Interbank</v>
      </c>
      <c r="K59" t="str">
        <v>Pago de Tarjeta BBVA Bfree</v>
      </c>
      <c r="L59">
        <f>F65</f>
        <v>249</v>
      </c>
      <c r="N59" t="str">
        <v>Credito</v>
      </c>
      <c r="O59">
        <f>700-O64</f>
        <v>451</v>
      </c>
    </row>
    <row r="60">
      <c r="B60" t="str">
        <v>Egreso</v>
      </c>
      <c r="C60">
        <v>46357</v>
      </c>
      <c r="D60" t="str">
        <v>Gasto</v>
      </c>
      <c r="E60" t="str">
        <v>Pastilla Madre</v>
      </c>
      <c r="F60">
        <v>120</v>
      </c>
      <c r="G60" t="str">
        <v>Interbank Amex</v>
      </c>
      <c r="K60" t="str">
        <v>Prestamo BCP</v>
      </c>
      <c r="L60">
        <v>143.16</v>
      </c>
    </row>
    <row r="61">
      <c r="B61" t="str">
        <v>Egreso</v>
      </c>
      <c r="C61">
        <v>46357</v>
      </c>
      <c r="D61" t="str">
        <v>Servicio</v>
      </c>
      <c r="E61" t="str">
        <v>Pago de Tarjeta Ripley</v>
      </c>
      <c r="F61">
        <v>0</v>
      </c>
      <c r="G61" t="str">
        <v>Interbank</v>
      </c>
      <c r="K61" t="str">
        <v>Titulación</v>
      </c>
      <c r="L61">
        <v>1520</v>
      </c>
      <c r="N61" t="str">
        <v>Internet</v>
      </c>
      <c r="O61">
        <v>79</v>
      </c>
    </row>
    <row r="62">
      <c r="B62" t="str">
        <v>Egreso</v>
      </c>
      <c r="C62">
        <v>46357</v>
      </c>
      <c r="D62" t="str">
        <v>Deuda</v>
      </c>
      <c r="E62" t="str">
        <v>Prestamo Yape</v>
      </c>
      <c r="F62">
        <v>116.85</v>
      </c>
      <c r="G62" t="str">
        <v>Interbank</v>
      </c>
      <c r="K62" t="str">
        <v>iCloud</v>
      </c>
      <c r="L62">
        <v>15</v>
      </c>
      <c r="N62" t="str">
        <v>Luz</v>
      </c>
      <c r="O62">
        <v>120</v>
      </c>
    </row>
    <row r="63">
      <c r="B63" t="str">
        <v>Egreso</v>
      </c>
      <c r="C63">
        <v>46361</v>
      </c>
      <c r="D63" t="str">
        <v>Servicio</v>
      </c>
      <c r="E63" t="str">
        <v>Agua + Mantenimiento</v>
      </c>
      <c r="F63">
        <v>160</v>
      </c>
      <c r="G63" t="str">
        <v>Interbank</v>
      </c>
      <c r="L63">
        <f>SUM(L53:L62)</f>
        <v>2641.66</v>
      </c>
      <c r="N63" t="str">
        <v>Gas</v>
      </c>
      <c r="O63">
        <v>50</v>
      </c>
    </row>
    <row r="64">
      <c r="B64" t="str">
        <v>Egreso</v>
      </c>
      <c r="C64">
        <v>46361</v>
      </c>
      <c r="D64" t="str">
        <v>Servicio</v>
      </c>
      <c r="E64" t="str">
        <v>Pago de Tarjeta Interbank Amex</v>
      </c>
      <c r="F64">
        <f>O31</f>
        <v>171.9</v>
      </c>
      <c r="G64" t="str">
        <v>Interbank</v>
      </c>
      <c r="O64">
        <f>SUM(O61:O63)</f>
        <v>249</v>
      </c>
    </row>
    <row r="65">
      <c r="B65" t="str">
        <v>Egreso</v>
      </c>
      <c r="C65">
        <v>46361</v>
      </c>
      <c r="D65" t="str">
        <v>Servicio</v>
      </c>
      <c r="E65" t="str">
        <v>Pago de Tarjeta BBVA Bfree</v>
      </c>
      <c r="F65">
        <f>O39</f>
        <v>249</v>
      </c>
      <c r="G65" t="str">
        <v>Interbank</v>
      </c>
    </row>
    <row r="66">
      <c r="B66" t="str">
        <v>Egreso</v>
      </c>
      <c r="C66">
        <v>46371</v>
      </c>
      <c r="D66" t="str">
        <v>Deuda</v>
      </c>
      <c r="E66" t="str">
        <v>Prestamo BCP</v>
      </c>
      <c r="F66">
        <v>143.16</v>
      </c>
      <c r="G66" t="str">
        <v>Interbank</v>
      </c>
      <c r="N66" t="str">
        <v>Probabilidad</v>
      </c>
    </row>
    <row r="67">
      <c r="B67" t="str">
        <v>Egreso</v>
      </c>
      <c r="C67">
        <v>46371</v>
      </c>
      <c r="D67" t="str">
        <v>Servicio</v>
      </c>
      <c r="E67" t="str">
        <v>Telefonia Movil</v>
      </c>
      <c r="F67">
        <v>39.9</v>
      </c>
      <c r="G67" t="str">
        <v>Interbank Amex</v>
      </c>
      <c r="N67" t="str">
        <v>Gratificación</v>
      </c>
      <c r="O67">
        <v>3300</v>
      </c>
    </row>
    <row r="68">
      <c r="B68" t="str">
        <v>Ingreso</v>
      </c>
      <c r="C68">
        <v>46371</v>
      </c>
      <c r="D68" t="str">
        <v>Otro Ing</v>
      </c>
      <c r="E68" t="str">
        <v>Gratificación</v>
      </c>
      <c r="F68">
        <v>2700</v>
      </c>
      <c r="G68" t="str">
        <v>Interbank</v>
      </c>
    </row>
    <row r="69">
      <c r="B69" t="str">
        <v>Egreso</v>
      </c>
      <c r="C69">
        <v>46371</v>
      </c>
      <c r="D69" t="str">
        <v>Otro Egre</v>
      </c>
      <c r="E69" t="str">
        <v>Titulación</v>
      </c>
      <c r="F69">
        <v>1520</v>
      </c>
      <c r="G69" t="str">
        <v>Interbank</v>
      </c>
    </row>
    <row r="70">
      <c r="B70" t="str">
        <v>Egreso</v>
      </c>
      <c r="C70">
        <v>46379</v>
      </c>
      <c r="D70" t="str">
        <v>Servicio</v>
      </c>
      <c r="E70" t="str">
        <v>iCloud</v>
      </c>
      <c r="F70">
        <v>15</v>
      </c>
      <c r="G70" t="str">
        <v>Interbank</v>
      </c>
    </row>
    <row r="74">
      <c r="B74" t="str">
        <v>Presupuesto Fijo Mensual</v>
      </c>
      <c r="E74" t="str">
        <v>Enero</v>
      </c>
      <c r="K74" t="str">
        <v>Interbank</v>
      </c>
      <c r="N74" t="str">
        <v>Interbank Amex</v>
      </c>
    </row>
    <row r="75">
      <c r="B75" t="str">
        <v>Tipo</v>
      </c>
      <c r="C75" t="str">
        <v>Fecha</v>
      </c>
      <c r="D75" t="str">
        <v>Categoría</v>
      </c>
      <c r="E75" t="str">
        <v>Concepto</v>
      </c>
      <c r="F75" t="str">
        <v>Monto</v>
      </c>
      <c r="G75" t="str">
        <v>Entidad</v>
      </c>
      <c r="K75" t="str">
        <v>Debito</v>
      </c>
      <c r="L75">
        <f>F77-L86+F76</f>
        <v>734.8200000000002</v>
      </c>
      <c r="N75" t="str">
        <v>Credito</v>
      </c>
      <c r="O75">
        <f>1000-O80</f>
        <v>828.1</v>
      </c>
      <c r="Q75" t="str">
        <v>Saldo Final</v>
      </c>
      <c r="R75">
        <f>L75+O75+O83</f>
        <v>2013.92</v>
      </c>
    </row>
    <row r="76">
      <c r="B76" t="str">
        <v>Ingreso</v>
      </c>
      <c r="C76">
        <v>46388</v>
      </c>
      <c r="D76" t="str">
        <v>Otro Ing</v>
      </c>
      <c r="E76" t="str">
        <v>Bonificación Ahorro</v>
      </c>
      <c r="F76">
        <v>0</v>
      </c>
      <c r="G76" t="str">
        <v>Interbank</v>
      </c>
    </row>
    <row r="77">
      <c r="B77" t="str">
        <v>Ingreso</v>
      </c>
      <c r="C77">
        <v>46388</v>
      </c>
      <c r="D77" t="str">
        <v>Sueldo</v>
      </c>
      <c r="E77" t="str">
        <v>Sueldo</v>
      </c>
      <c r="F77">
        <v>2259.63</v>
      </c>
      <c r="G77" t="str">
        <v>Interbank</v>
      </c>
      <c r="K77" t="str">
        <v>Corte de Cabello</v>
      </c>
      <c r="L77">
        <v>20</v>
      </c>
      <c r="N77" t="str">
        <v>Spotify</v>
      </c>
      <c r="O77">
        <v>12</v>
      </c>
    </row>
    <row r="78">
      <c r="B78" t="str">
        <v>Egreso</v>
      </c>
      <c r="C78">
        <v>46388</v>
      </c>
      <c r="D78" t="str">
        <v>Servicio</v>
      </c>
      <c r="E78" t="str">
        <v>Spotify</v>
      </c>
      <c r="F78">
        <v>12</v>
      </c>
      <c r="G78" t="str">
        <v>Interbank Amex</v>
      </c>
      <c r="K78" t="str">
        <v>iPhone 16</v>
      </c>
      <c r="L78">
        <v>245.75</v>
      </c>
      <c r="N78" t="str">
        <v>Pastilla Madre</v>
      </c>
      <c r="O78">
        <v>120</v>
      </c>
    </row>
    <row r="79">
      <c r="B79" t="str">
        <v>Egreso</v>
      </c>
      <c r="C79">
        <v>46388</v>
      </c>
      <c r="D79" t="str">
        <v>Servicio</v>
      </c>
      <c r="E79" t="str">
        <v>Internet</v>
      </c>
      <c r="F79">
        <v>79</v>
      </c>
      <c r="G79" t="str">
        <v>BBVA Bfree</v>
      </c>
      <c r="K79" t="str">
        <v>Pago de Tarjeta Ripley</v>
      </c>
      <c r="L79">
        <f>F85</f>
        <v>0</v>
      </c>
      <c r="N79" t="str">
        <v>Telefonia Movil</v>
      </c>
      <c r="O79">
        <v>39.9</v>
      </c>
    </row>
    <row r="80">
      <c r="B80" t="str">
        <v>Egreso</v>
      </c>
      <c r="C80">
        <v>46388</v>
      </c>
      <c r="D80" t="str">
        <v>Servicio</v>
      </c>
      <c r="E80" t="str">
        <v>Luz</v>
      </c>
      <c r="F80">
        <v>120</v>
      </c>
      <c r="G80" t="str">
        <v>BBVA Bfree</v>
      </c>
      <c r="K80" t="str">
        <v>Agua + Mantenimiento</v>
      </c>
      <c r="L80">
        <v>160</v>
      </c>
      <c r="O80">
        <f>SUM(O77:O79)</f>
        <v>171.9</v>
      </c>
    </row>
    <row r="81">
      <c r="B81" t="str">
        <v>Egreso</v>
      </c>
      <c r="C81">
        <v>46388</v>
      </c>
      <c r="D81" t="str">
        <v>Servicio</v>
      </c>
      <c r="E81" t="str">
        <v>Gas</v>
      </c>
      <c r="F81">
        <v>50</v>
      </c>
      <c r="G81" t="str">
        <v>BBVA Bfree</v>
      </c>
      <c r="K81" t="str">
        <v>Pago de Tarjeta Interbank Amex</v>
      </c>
      <c r="L81">
        <f>F87</f>
        <v>171.9</v>
      </c>
    </row>
    <row r="82">
      <c r="B82" t="str">
        <v>Egreso</v>
      </c>
      <c r="C82">
        <v>46388</v>
      </c>
      <c r="D82" t="str">
        <v>Servicio</v>
      </c>
      <c r="E82" t="str">
        <v>Corte de Cabello</v>
      </c>
      <c r="F82">
        <v>20</v>
      </c>
      <c r="G82" t="str">
        <v>Interbank</v>
      </c>
      <c r="K82" t="str">
        <v>Pago de Tarjeta BBVA Bfree</v>
      </c>
      <c r="L82">
        <f>F88</f>
        <v>249</v>
      </c>
      <c r="N82" t="str">
        <v>BBVA Bfree</v>
      </c>
    </row>
    <row r="83">
      <c r="B83" t="str">
        <v>Egreso</v>
      </c>
      <c r="C83">
        <v>46388</v>
      </c>
      <c r="D83" t="str">
        <v>Deuda</v>
      </c>
      <c r="E83" t="str">
        <v>iPhone 16</v>
      </c>
      <c r="F83">
        <v>245.75</v>
      </c>
      <c r="G83" t="str">
        <v>Interbank</v>
      </c>
      <c r="K83" t="str">
        <v>Prestamo BCP</v>
      </c>
      <c r="L83">
        <v>143.16</v>
      </c>
      <c r="N83" t="str">
        <v>Credito</v>
      </c>
      <c r="O83">
        <f>700-O88</f>
        <v>451</v>
      </c>
    </row>
    <row r="84">
      <c r="B84" t="str">
        <v>Egreso</v>
      </c>
      <c r="C84">
        <v>46388</v>
      </c>
      <c r="D84" t="str">
        <v>Gasto</v>
      </c>
      <c r="E84" t="str">
        <v>Pastilla Madre</v>
      </c>
      <c r="F84">
        <v>120</v>
      </c>
      <c r="G84" t="str">
        <v>Interbank Amex</v>
      </c>
      <c r="K84" t="str">
        <v>Titulación</v>
      </c>
      <c r="L84">
        <f>F91</f>
        <v>520</v>
      </c>
    </row>
    <row r="85">
      <c r="B85" t="str">
        <v>Egreso</v>
      </c>
      <c r="C85">
        <v>46388</v>
      </c>
      <c r="D85" t="str">
        <v>Servicio</v>
      </c>
      <c r="E85" t="str">
        <v>Pago de Tarjeta Ripley</v>
      </c>
      <c r="F85">
        <v>0</v>
      </c>
      <c r="G85" t="str">
        <v>Interbank</v>
      </c>
      <c r="K85" t="str">
        <v>iCloud</v>
      </c>
      <c r="L85">
        <v>15</v>
      </c>
      <c r="N85" t="str">
        <v>Internet</v>
      </c>
      <c r="O85">
        <v>79</v>
      </c>
    </row>
    <row r="86">
      <c r="B86" t="str">
        <v>Egreso</v>
      </c>
      <c r="C86">
        <v>46392</v>
      </c>
      <c r="D86" t="str">
        <v>Servicio</v>
      </c>
      <c r="E86" t="str">
        <v>Agua + Mantenimiento</v>
      </c>
      <c r="F86">
        <v>160</v>
      </c>
      <c r="G86" t="str">
        <v>Interbank</v>
      </c>
      <c r="L86">
        <f>SUM(L77:L85)</f>
        <v>1524.81</v>
      </c>
      <c r="N86" t="str">
        <v>Luz</v>
      </c>
      <c r="O86">
        <v>120</v>
      </c>
    </row>
    <row r="87">
      <c r="B87" t="str">
        <v>Egreso</v>
      </c>
      <c r="C87">
        <v>46392</v>
      </c>
      <c r="D87" t="str">
        <v>Servicio</v>
      </c>
      <c r="E87" t="str">
        <v>Pago de Tarjeta Interbank Amex</v>
      </c>
      <c r="F87">
        <f>O56</f>
        <v>171.9</v>
      </c>
      <c r="G87" t="str">
        <v>Interbank</v>
      </c>
      <c r="N87" t="str">
        <v>Gas</v>
      </c>
      <c r="O87">
        <v>50</v>
      </c>
    </row>
    <row r="88">
      <c r="B88" t="str">
        <v>Egreso</v>
      </c>
      <c r="C88">
        <v>46392</v>
      </c>
      <c r="D88" t="str">
        <v>Servicio</v>
      </c>
      <c r="E88" t="str">
        <v>Pago de Tarjeta BBVA Bfree</v>
      </c>
      <c r="F88">
        <f>O64</f>
        <v>249</v>
      </c>
      <c r="G88" t="str">
        <v>Interbank</v>
      </c>
      <c r="O88">
        <f>SUM(O85:O87)</f>
        <v>249</v>
      </c>
    </row>
    <row r="89">
      <c r="B89" t="str">
        <v>Egreso</v>
      </c>
      <c r="C89">
        <v>46402</v>
      </c>
      <c r="D89" t="str">
        <v>Deuda</v>
      </c>
      <c r="E89" t="str">
        <v>Prestamo BCP</v>
      </c>
      <c r="F89">
        <v>143.16</v>
      </c>
      <c r="G89" t="str">
        <v>Interbank</v>
      </c>
    </row>
    <row r="90">
      <c r="B90" t="str">
        <v>Egreso</v>
      </c>
      <c r="C90">
        <v>46402</v>
      </c>
      <c r="D90" t="str">
        <v>Servicio</v>
      </c>
      <c r="E90" t="str">
        <v>Telefonia Movil</v>
      </c>
      <c r="F90">
        <v>39.9</v>
      </c>
      <c r="G90" t="str">
        <v>Interbank Amex</v>
      </c>
    </row>
    <row r="91">
      <c r="B91" t="str">
        <v>Egreso</v>
      </c>
      <c r="C91">
        <v>46402</v>
      </c>
      <c r="D91" t="str">
        <v>Otro Egre</v>
      </c>
      <c r="E91" t="str">
        <v>Titulación</v>
      </c>
      <c r="F91">
        <v>520</v>
      </c>
      <c r="G91" t="str">
        <v>Interbank</v>
      </c>
    </row>
    <row r="92">
      <c r="B92" t="str">
        <v>Egreso</v>
      </c>
      <c r="C92">
        <v>46410</v>
      </c>
      <c r="D92" t="str">
        <v>Servicio</v>
      </c>
      <c r="E92" t="str">
        <v>iCloud</v>
      </c>
      <c r="F92">
        <v>15</v>
      </c>
      <c r="G92" t="str">
        <v>Interbank</v>
      </c>
    </row>
    <row r="96">
      <c r="B96" t="str">
        <v>Presupuesto Fijo Mensual</v>
      </c>
      <c r="E96" t="str">
        <v>Febrero</v>
      </c>
      <c r="K96" t="str">
        <v>Interbank</v>
      </c>
      <c r="N96" t="str">
        <v>Interbank Amex</v>
      </c>
    </row>
    <row r="97">
      <c r="B97" t="str">
        <v>Tipo</v>
      </c>
      <c r="C97" t="str">
        <v>Fecha</v>
      </c>
      <c r="D97" t="str">
        <v>Categoría</v>
      </c>
      <c r="E97" t="str">
        <v>Concepto</v>
      </c>
      <c r="F97" t="str">
        <v>Monto</v>
      </c>
      <c r="G97" t="str">
        <v>Entidad</v>
      </c>
      <c r="K97" t="str">
        <v>Debito</v>
      </c>
      <c r="L97">
        <f>F99-L109+F98</f>
        <v>234.81999999999994</v>
      </c>
      <c r="N97" t="str">
        <v>Credito</v>
      </c>
      <c r="O97">
        <f>1000-O102</f>
        <v>828.1</v>
      </c>
      <c r="Q97" t="str">
        <v>Saldo Final</v>
      </c>
      <c r="R97">
        <f>L97+O97+O105</f>
        <v>1513.92</v>
      </c>
    </row>
    <row r="98">
      <c r="B98" t="str">
        <v>Ingreso</v>
      </c>
      <c r="C98">
        <v>46419</v>
      </c>
      <c r="D98" t="str">
        <v>Otro Ing</v>
      </c>
      <c r="E98" t="str">
        <v>Bonificación Ahorro</v>
      </c>
      <c r="F98">
        <v>0</v>
      </c>
      <c r="G98" t="str">
        <v>Interbank</v>
      </c>
    </row>
    <row r="99">
      <c r="B99" t="str">
        <v>Ingreso</v>
      </c>
      <c r="C99">
        <v>46419</v>
      </c>
      <c r="D99" t="str">
        <v>Sueldo</v>
      </c>
      <c r="E99" t="str">
        <v>Sueldo</v>
      </c>
      <c r="F99">
        <v>2259.63</v>
      </c>
      <c r="G99" t="str">
        <v>Interbank</v>
      </c>
      <c r="K99" t="str">
        <v>Corte de Cabello</v>
      </c>
      <c r="L99">
        <v>20</v>
      </c>
      <c r="N99" t="str">
        <v>Spotify</v>
      </c>
      <c r="O99">
        <v>12</v>
      </c>
    </row>
    <row r="100">
      <c r="B100" t="str">
        <v>Egreso</v>
      </c>
      <c r="C100">
        <v>46419</v>
      </c>
      <c r="D100" t="str">
        <v>Servicio</v>
      </c>
      <c r="E100" t="str">
        <v>Spotify</v>
      </c>
      <c r="F100">
        <v>12</v>
      </c>
      <c r="G100" t="str">
        <v>Interbank Amex</v>
      </c>
      <c r="K100" t="str">
        <v>iPhone 16</v>
      </c>
      <c r="L100">
        <v>245.75</v>
      </c>
      <c r="N100" t="str">
        <v>Pastilla Madre</v>
      </c>
      <c r="O100">
        <v>120</v>
      </c>
    </row>
    <row r="101">
      <c r="B101" t="str">
        <v>Egreso</v>
      </c>
      <c r="C101">
        <v>46419</v>
      </c>
      <c r="D101" t="str">
        <v>Servicio</v>
      </c>
      <c r="E101" t="str">
        <v>Internet</v>
      </c>
      <c r="F101">
        <v>79</v>
      </c>
      <c r="G101" t="str">
        <v>BBVA Bfree</v>
      </c>
      <c r="K101" t="str">
        <v>Pago de Tarjeta Ripley</v>
      </c>
      <c r="L101">
        <v>0</v>
      </c>
      <c r="N101" t="str">
        <v>Telefonia Movil</v>
      </c>
      <c r="O101">
        <v>39.9</v>
      </c>
    </row>
    <row r="102">
      <c r="B102" t="str">
        <v>Egreso</v>
      </c>
      <c r="C102">
        <v>46419</v>
      </c>
      <c r="D102" t="str">
        <v>Servicio</v>
      </c>
      <c r="E102" t="str">
        <v>Luz</v>
      </c>
      <c r="F102">
        <v>120</v>
      </c>
      <c r="G102" t="str">
        <v>BBVA Bfree</v>
      </c>
      <c r="K102" t="str">
        <v>Madre</v>
      </c>
      <c r="L102">
        <v>500</v>
      </c>
      <c r="O102">
        <f>SUM(O99:O101)</f>
        <v>171.9</v>
      </c>
    </row>
    <row r="103">
      <c r="B103" t="str">
        <v>Egreso</v>
      </c>
      <c r="C103">
        <v>46419</v>
      </c>
      <c r="D103" t="str">
        <v>Servicio</v>
      </c>
      <c r="E103" t="str">
        <v>Gas</v>
      </c>
      <c r="F103">
        <v>50</v>
      </c>
      <c r="G103" t="str">
        <v>BBVA Bfree</v>
      </c>
      <c r="K103" t="str">
        <v>Agua + Mantenimiento</v>
      </c>
      <c r="L103">
        <v>160</v>
      </c>
    </row>
    <row r="104">
      <c r="B104" t="str">
        <v>Egreso</v>
      </c>
      <c r="C104">
        <v>46419</v>
      </c>
      <c r="D104" t="str">
        <v>Servicio</v>
      </c>
      <c r="E104" t="str">
        <v>Corte de Cabello</v>
      </c>
      <c r="F104">
        <v>20</v>
      </c>
      <c r="G104" t="str">
        <v>Interbank</v>
      </c>
      <c r="K104" t="str">
        <v>Pago de Tarjeta Interbank Amex</v>
      </c>
      <c r="L104">
        <f>F110</f>
        <v>171.9</v>
      </c>
      <c r="N104" t="str">
        <v>BBVA Bfree</v>
      </c>
    </row>
    <row r="105">
      <c r="B105" t="str">
        <v>Egreso</v>
      </c>
      <c r="C105">
        <v>46419</v>
      </c>
      <c r="D105" t="str">
        <v>Deuda</v>
      </c>
      <c r="E105" t="str">
        <v>iPhone 16</v>
      </c>
      <c r="F105">
        <v>245.75</v>
      </c>
      <c r="G105" t="str">
        <v>Interbank</v>
      </c>
      <c r="K105" t="str">
        <v>Pago de Tarjeta BBVA Bfree</v>
      </c>
      <c r="L105">
        <f>F111</f>
        <v>249</v>
      </c>
      <c r="N105" t="str">
        <v>Credito</v>
      </c>
      <c r="O105">
        <f>700-O110</f>
        <v>451</v>
      </c>
    </row>
    <row r="106">
      <c r="B106" t="str">
        <v>Egreso</v>
      </c>
      <c r="C106">
        <v>46419</v>
      </c>
      <c r="D106" t="str">
        <v>Gasto</v>
      </c>
      <c r="E106" t="str">
        <v>Pastilla Madre</v>
      </c>
      <c r="F106">
        <v>120</v>
      </c>
      <c r="G106" t="str">
        <v>Interbank Amex</v>
      </c>
      <c r="K106" t="str">
        <v>Prestamo BCP</v>
      </c>
      <c r="L106">
        <v>143.16</v>
      </c>
    </row>
    <row r="107">
      <c r="B107" t="str">
        <v>Egreso</v>
      </c>
      <c r="C107">
        <v>46419</v>
      </c>
      <c r="D107" t="str">
        <v>Servicio</v>
      </c>
      <c r="E107" t="str">
        <v>Pago de Tarjeta Ripley</v>
      </c>
      <c r="F107">
        <v>0</v>
      </c>
      <c r="G107" t="str">
        <v>Interbank</v>
      </c>
      <c r="K107" t="str">
        <v>Titulación</v>
      </c>
      <c r="L107">
        <f>F114</f>
        <v>520</v>
      </c>
      <c r="N107" t="str">
        <v>Internet</v>
      </c>
      <c r="O107">
        <v>79</v>
      </c>
    </row>
    <row r="108">
      <c r="B108" t="str">
        <v>Egreso</v>
      </c>
      <c r="C108">
        <v>46419</v>
      </c>
      <c r="D108" t="str">
        <v>Deuda</v>
      </c>
      <c r="E108" t="str">
        <v>Madre</v>
      </c>
      <c r="F108">
        <v>500</v>
      </c>
      <c r="G108" t="str">
        <v>Interbank</v>
      </c>
      <c r="K108" t="str">
        <v>iCloud</v>
      </c>
      <c r="L108">
        <v>15</v>
      </c>
      <c r="N108" t="str">
        <v>Luz</v>
      </c>
      <c r="O108">
        <v>120</v>
      </c>
    </row>
    <row r="109">
      <c r="B109" t="str">
        <v>Egreso</v>
      </c>
      <c r="C109">
        <v>46423</v>
      </c>
      <c r="D109" t="str">
        <v>Servicio</v>
      </c>
      <c r="E109" t="str">
        <v>Agua + Mantenimiento</v>
      </c>
      <c r="F109">
        <v>160</v>
      </c>
      <c r="G109" t="str">
        <v>Interbank</v>
      </c>
      <c r="L109">
        <f>SUM(L99:L108)</f>
        <v>2024.8100000000002</v>
      </c>
      <c r="N109" t="str">
        <v>Gas</v>
      </c>
      <c r="O109">
        <v>50</v>
      </c>
    </row>
    <row r="110">
      <c r="B110" t="str">
        <v>Egreso</v>
      </c>
      <c r="C110">
        <v>46423</v>
      </c>
      <c r="D110" t="str">
        <v>Servicio</v>
      </c>
      <c r="E110" t="str">
        <v>Pago de Tarjeta Interbank Amex</v>
      </c>
      <c r="F110">
        <f>O80</f>
        <v>171.9</v>
      </c>
      <c r="G110" t="str">
        <v>Interbank</v>
      </c>
      <c r="O110">
        <f>SUM(O107:O109)</f>
        <v>249</v>
      </c>
    </row>
    <row r="111">
      <c r="B111" t="str">
        <v>Egreso</v>
      </c>
      <c r="C111">
        <v>46423</v>
      </c>
      <c r="D111" t="str">
        <v>Servicio</v>
      </c>
      <c r="E111" t="str">
        <v>Pago de Tarjeta BBVA Bfree</v>
      </c>
      <c r="F111">
        <f>O88</f>
        <v>249</v>
      </c>
      <c r="G111" t="str">
        <v>Interbank</v>
      </c>
    </row>
    <row r="112">
      <c r="B112" t="str">
        <v>Egreso</v>
      </c>
      <c r="C112">
        <v>46433</v>
      </c>
      <c r="D112" t="str">
        <v>Deuda</v>
      </c>
      <c r="E112" t="str">
        <v>Prestamo BCP</v>
      </c>
      <c r="F112">
        <v>143.16</v>
      </c>
      <c r="G112" t="str">
        <v>Interbank</v>
      </c>
    </row>
    <row r="113">
      <c r="B113" t="str">
        <v>Egreso</v>
      </c>
      <c r="C113">
        <v>46433</v>
      </c>
      <c r="D113" t="str">
        <v>Servicio</v>
      </c>
      <c r="E113" t="str">
        <v>Telefonia Movil</v>
      </c>
      <c r="F113">
        <v>39.9</v>
      </c>
      <c r="G113" t="str">
        <v>Interbank Amex</v>
      </c>
    </row>
    <row r="114">
      <c r="B114" t="str">
        <v>Egreso</v>
      </c>
      <c r="C114">
        <v>46433</v>
      </c>
      <c r="D114" t="str">
        <v>Otro Egre</v>
      </c>
      <c r="E114" t="str">
        <v>Titulación</v>
      </c>
      <c r="F114">
        <v>520</v>
      </c>
      <c r="G114" t="str">
        <v>Interbank</v>
      </c>
    </row>
    <row r="115">
      <c r="B115" t="str">
        <v>Egreso</v>
      </c>
      <c r="C115">
        <v>46441</v>
      </c>
      <c r="D115" t="str">
        <v>Servicio</v>
      </c>
      <c r="E115" t="str">
        <v>iCloud</v>
      </c>
      <c r="F115">
        <v>15</v>
      </c>
      <c r="G115" t="str">
        <v>Interbank</v>
      </c>
    </row>
    <row r="119">
      <c r="B119" t="str">
        <v>Presupuesto Fijo Mensual</v>
      </c>
      <c r="E119" t="str">
        <v>Marzo</v>
      </c>
      <c r="K119" t="str">
        <v>Interbank</v>
      </c>
      <c r="N119" t="str">
        <v>Interbank Amex</v>
      </c>
    </row>
    <row r="120">
      <c r="B120" t="str">
        <v>Tipo</v>
      </c>
      <c r="C120" t="str">
        <v>Fecha</v>
      </c>
      <c r="D120" t="str">
        <v>Categoría</v>
      </c>
      <c r="E120" t="str">
        <v>Concepto</v>
      </c>
      <c r="F120" t="str">
        <v>Monto</v>
      </c>
      <c r="G120" t="str">
        <v>Entidad</v>
      </c>
      <c r="K120" t="str">
        <v>Debito</v>
      </c>
      <c r="L120">
        <f>F122-L131+F121</f>
        <v>480.56999999999994</v>
      </c>
      <c r="N120" t="str">
        <v>Credito</v>
      </c>
      <c r="O120">
        <f>1000-O125</f>
        <v>828.1</v>
      </c>
      <c r="Q120" t="str">
        <v>Saldo Final</v>
      </c>
      <c r="R120">
        <f>L120+O120+O128</f>
        <v>1759.67</v>
      </c>
    </row>
    <row r="121">
      <c r="B121" t="str">
        <v>Ingreso</v>
      </c>
      <c r="C121">
        <v>46447</v>
      </c>
      <c r="D121" t="str">
        <v>Otro Ing</v>
      </c>
      <c r="E121" t="str">
        <v>Bonificación Ahorro</v>
      </c>
      <c r="F121">
        <v>0</v>
      </c>
      <c r="G121" t="str">
        <v>Interbank</v>
      </c>
    </row>
    <row r="122">
      <c r="B122" t="str">
        <v>Ingreso</v>
      </c>
      <c r="C122">
        <v>46447</v>
      </c>
      <c r="D122" t="str">
        <v>Sueldo</v>
      </c>
      <c r="E122" t="str">
        <v>Sueldo</v>
      </c>
      <c r="F122">
        <v>2259.63</v>
      </c>
      <c r="G122" t="str">
        <v>Interbank</v>
      </c>
      <c r="K122" t="str">
        <v>Corte de Cabello</v>
      </c>
      <c r="L122">
        <v>20</v>
      </c>
      <c r="N122" t="str">
        <v>Spotify</v>
      </c>
      <c r="O122">
        <v>12</v>
      </c>
    </row>
    <row r="123">
      <c r="B123" t="str">
        <v>Egreso</v>
      </c>
      <c r="C123">
        <v>46447</v>
      </c>
      <c r="D123" t="str">
        <v>Servicio</v>
      </c>
      <c r="E123" t="str">
        <v>Spotify</v>
      </c>
      <c r="F123">
        <v>12</v>
      </c>
      <c r="G123" t="str">
        <v>Interbank Amex</v>
      </c>
      <c r="K123" t="str">
        <v>Pago de Tarjeta Ripley</v>
      </c>
      <c r="L123">
        <v>0</v>
      </c>
      <c r="N123" t="str">
        <v>Pastilla Madre</v>
      </c>
      <c r="O123">
        <v>120</v>
      </c>
    </row>
    <row r="124">
      <c r="B124" t="str">
        <v>Egreso</v>
      </c>
      <c r="C124">
        <v>46447</v>
      </c>
      <c r="D124" t="str">
        <v>Servicio</v>
      </c>
      <c r="E124" t="str">
        <v>Internet</v>
      </c>
      <c r="F124">
        <v>79</v>
      </c>
      <c r="G124" t="str">
        <v>BBVA Bfree</v>
      </c>
      <c r="K124" t="str">
        <v>Madre</v>
      </c>
      <c r="L124">
        <v>500</v>
      </c>
      <c r="N124" t="str">
        <v>Telefonia Movil</v>
      </c>
      <c r="O124">
        <v>39.9</v>
      </c>
    </row>
    <row r="125">
      <c r="B125" t="str">
        <v>Egreso</v>
      </c>
      <c r="C125">
        <v>46447</v>
      </c>
      <c r="D125" t="str">
        <v>Servicio</v>
      </c>
      <c r="E125" t="str">
        <v>Luz</v>
      </c>
      <c r="F125">
        <v>120</v>
      </c>
      <c r="G125" t="str">
        <v>BBVA Bfree</v>
      </c>
      <c r="K125" t="str">
        <v>Agua + Mantenimiento</v>
      </c>
      <c r="L125">
        <v>160</v>
      </c>
      <c r="O125">
        <f>SUM(O122:O124)</f>
        <v>171.9</v>
      </c>
    </row>
    <row r="126">
      <c r="B126" t="str">
        <v>Egreso</v>
      </c>
      <c r="C126">
        <v>46447</v>
      </c>
      <c r="D126" t="str">
        <v>Servicio</v>
      </c>
      <c r="E126" t="str">
        <v>Gas</v>
      </c>
      <c r="F126">
        <v>50</v>
      </c>
      <c r="G126" t="str">
        <v>BBVA Bfree</v>
      </c>
      <c r="K126" t="str">
        <v>Pago de Tarjeta Interbank Amex</v>
      </c>
      <c r="L126">
        <f>F132</f>
        <v>171.9</v>
      </c>
    </row>
    <row r="127">
      <c r="B127" t="str">
        <v>Egreso</v>
      </c>
      <c r="C127">
        <v>46447</v>
      </c>
      <c r="D127" t="str">
        <v>Servicio</v>
      </c>
      <c r="E127" t="str">
        <v>Corte de Cabello</v>
      </c>
      <c r="F127">
        <v>20</v>
      </c>
      <c r="G127" t="str">
        <v>Interbank</v>
      </c>
      <c r="K127" t="str">
        <v>Pago de Tarjeta BBVA Bfree</v>
      </c>
      <c r="L127">
        <f>F133</f>
        <v>249</v>
      </c>
      <c r="N127" t="str">
        <v>BBVA Bfree</v>
      </c>
    </row>
    <row r="128">
      <c r="B128" t="str">
        <v>Egreso</v>
      </c>
      <c r="C128">
        <v>46447</v>
      </c>
      <c r="D128" t="str">
        <v>Gasto</v>
      </c>
      <c r="E128" t="str">
        <v>Pastilla Madre</v>
      </c>
      <c r="F128">
        <v>120</v>
      </c>
      <c r="G128" t="str">
        <v>Interbank Amex</v>
      </c>
      <c r="K128" t="str">
        <v>Prestamo BCP</v>
      </c>
      <c r="L128">
        <v>143.16</v>
      </c>
      <c r="N128" t="str">
        <v>Credito</v>
      </c>
      <c r="O128">
        <f>700-O133</f>
        <v>451</v>
      </c>
    </row>
    <row r="129">
      <c r="B129" t="str">
        <v>Egreso</v>
      </c>
      <c r="C129">
        <v>46447</v>
      </c>
      <c r="D129" t="str">
        <v>Servicio</v>
      </c>
      <c r="E129" t="str">
        <v>Pago de Tarjeta Ripley</v>
      </c>
      <c r="F129">
        <v>0</v>
      </c>
      <c r="G129" t="str">
        <v>Interbank</v>
      </c>
      <c r="K129" t="str">
        <v>Titulación</v>
      </c>
      <c r="L129">
        <f>F136</f>
        <v>520</v>
      </c>
    </row>
    <row r="130">
      <c r="B130" t="str">
        <v>Egreso</v>
      </c>
      <c r="C130">
        <v>46447</v>
      </c>
      <c r="D130" t="str">
        <v>Deuda</v>
      </c>
      <c r="E130" t="str">
        <v>Madre</v>
      </c>
      <c r="F130">
        <v>500</v>
      </c>
      <c r="G130" t="str">
        <v>Interbank</v>
      </c>
      <c r="K130" t="str">
        <v>iCloud</v>
      </c>
      <c r="L130">
        <v>15</v>
      </c>
      <c r="N130" t="str">
        <v>Internet</v>
      </c>
      <c r="O130">
        <v>79</v>
      </c>
    </row>
    <row r="131">
      <c r="B131" t="str">
        <v>Egreso</v>
      </c>
      <c r="C131">
        <v>46451</v>
      </c>
      <c r="D131" t="str">
        <v>Servicio</v>
      </c>
      <c r="E131" t="str">
        <v>Agua + Mantenimiento</v>
      </c>
      <c r="F131">
        <v>160</v>
      </c>
      <c r="G131" t="str">
        <v>Interbank</v>
      </c>
      <c r="L131">
        <f>SUM(L122:L130)</f>
        <v>1779.0600000000002</v>
      </c>
      <c r="N131" t="str">
        <v>Luz</v>
      </c>
      <c r="O131">
        <v>120</v>
      </c>
    </row>
    <row r="132">
      <c r="B132" t="str">
        <v>Egreso</v>
      </c>
      <c r="C132">
        <v>46451</v>
      </c>
      <c r="D132" t="str">
        <v>Servicio</v>
      </c>
      <c r="E132" t="str">
        <v>Pago de Tarjeta Interbank Amex</v>
      </c>
      <c r="F132">
        <f>O102</f>
        <v>171.9</v>
      </c>
      <c r="G132" t="str">
        <v>Interbank</v>
      </c>
      <c r="N132" t="str">
        <v>Gas</v>
      </c>
      <c r="O132">
        <v>50</v>
      </c>
    </row>
    <row r="133">
      <c r="B133" t="str">
        <v>Egreso</v>
      </c>
      <c r="C133">
        <v>46451</v>
      </c>
      <c r="D133" t="str">
        <v>Servicio</v>
      </c>
      <c r="E133" t="str">
        <v>Pago de Tarjeta BBVA Bfree</v>
      </c>
      <c r="F133">
        <f>O110</f>
        <v>249</v>
      </c>
      <c r="G133" t="str">
        <v>Interbank</v>
      </c>
      <c r="O133">
        <f>SUM(O130:O132)</f>
        <v>249</v>
      </c>
    </row>
    <row r="134">
      <c r="B134" t="str">
        <v>Egreso</v>
      </c>
      <c r="C134">
        <v>46461</v>
      </c>
      <c r="D134" t="str">
        <v>Deuda</v>
      </c>
      <c r="E134" t="str">
        <v>Prestamo BCP</v>
      </c>
      <c r="F134">
        <v>143.16</v>
      </c>
      <c r="G134" t="str">
        <v>Interbank</v>
      </c>
    </row>
    <row r="135">
      <c r="B135" t="str">
        <v>Egreso</v>
      </c>
      <c r="C135">
        <v>46461</v>
      </c>
      <c r="D135" t="str">
        <v>Servicio</v>
      </c>
      <c r="E135" t="str">
        <v>Telefonia Movil</v>
      </c>
      <c r="F135">
        <v>39.9</v>
      </c>
      <c r="G135" t="str">
        <v>Interbank Amex</v>
      </c>
    </row>
    <row r="136">
      <c r="B136" t="str">
        <v>Egreso</v>
      </c>
      <c r="C136">
        <v>46461</v>
      </c>
      <c r="D136" t="str">
        <v>Otro Egre</v>
      </c>
      <c r="E136" t="str">
        <v>Titulación</v>
      </c>
      <c r="F136">
        <v>520</v>
      </c>
      <c r="G136" t="str">
        <v>Interbank</v>
      </c>
    </row>
    <row r="137">
      <c r="B137" t="str">
        <v>Egreso</v>
      </c>
      <c r="C137">
        <v>46469</v>
      </c>
      <c r="D137" t="str">
        <v>Servicio</v>
      </c>
      <c r="E137" t="str">
        <v>iCloud</v>
      </c>
      <c r="F137">
        <v>15</v>
      </c>
      <c r="G137" t="str">
        <v>Interbank</v>
      </c>
    </row>
    <row r="142">
      <c r="B142" t="str">
        <v>Presupuesto Fijo Mensual</v>
      </c>
      <c r="E142" t="str">
        <v>Abril</v>
      </c>
      <c r="K142" t="str">
        <v>Interbank</v>
      </c>
      <c r="N142" t="str">
        <v>Interbank Amex</v>
      </c>
    </row>
    <row r="143">
      <c r="B143" t="str">
        <v>Tipo</v>
      </c>
      <c r="C143" t="str">
        <v>Fecha</v>
      </c>
      <c r="D143" t="str">
        <v>Categoría</v>
      </c>
      <c r="E143" t="str">
        <v>Concepto</v>
      </c>
      <c r="F143" t="str">
        <v>Monto</v>
      </c>
      <c r="G143" t="str">
        <v>Entidad</v>
      </c>
      <c r="K143" t="str">
        <v>Debito</v>
      </c>
      <c r="L143">
        <f>F145-L154+F144</f>
        <v>480.56999999999994</v>
      </c>
      <c r="N143" t="str">
        <v>Credito</v>
      </c>
      <c r="O143">
        <f>1000-O148</f>
        <v>828.1</v>
      </c>
      <c r="Q143" t="str">
        <v>Saldo Final</v>
      </c>
      <c r="R143">
        <f>L143+O143+O151</f>
        <v>1759.67</v>
      </c>
    </row>
    <row r="144">
      <c r="B144" t="str">
        <v>Ingreso</v>
      </c>
      <c r="C144">
        <v>46478</v>
      </c>
      <c r="D144" t="str">
        <v>Otro Ing</v>
      </c>
      <c r="E144" t="str">
        <v>Bonificación Ahorro</v>
      </c>
      <c r="F144">
        <v>0</v>
      </c>
      <c r="G144" t="str">
        <v>Interbank</v>
      </c>
    </row>
    <row r="145">
      <c r="B145" t="str">
        <v>Ingreso</v>
      </c>
      <c r="C145">
        <v>46478</v>
      </c>
      <c r="D145" t="str">
        <v>Sueldo</v>
      </c>
      <c r="E145" t="str">
        <v>Sueldo</v>
      </c>
      <c r="F145">
        <v>2259.63</v>
      </c>
      <c r="G145" t="str">
        <v>Interbank</v>
      </c>
      <c r="K145" t="str">
        <v>Corte de Cabello</v>
      </c>
      <c r="L145">
        <v>20</v>
      </c>
      <c r="N145" t="str">
        <v>Spotify</v>
      </c>
      <c r="O145">
        <v>12</v>
      </c>
    </row>
    <row r="146">
      <c r="B146" t="str">
        <v>Egreso</v>
      </c>
      <c r="C146">
        <v>46478</v>
      </c>
      <c r="D146" t="str">
        <v>Servicio</v>
      </c>
      <c r="E146" t="str">
        <v>Spotify</v>
      </c>
      <c r="F146">
        <v>12</v>
      </c>
      <c r="G146" t="str">
        <v>Interbank Amex</v>
      </c>
      <c r="K146" t="str">
        <v>Pago de Tarjeta Ripley</v>
      </c>
      <c r="L146">
        <v>0</v>
      </c>
      <c r="N146" t="str">
        <v>Pastilla Madre</v>
      </c>
      <c r="O146">
        <v>120</v>
      </c>
    </row>
    <row r="147">
      <c r="B147" t="str">
        <v>Egreso</v>
      </c>
      <c r="C147">
        <v>46478</v>
      </c>
      <c r="D147" t="str">
        <v>Servicio</v>
      </c>
      <c r="E147" t="str">
        <v>Internet</v>
      </c>
      <c r="F147">
        <v>79</v>
      </c>
      <c r="G147" t="str">
        <v>BBVA Bfree</v>
      </c>
      <c r="K147" t="str">
        <v>Madre</v>
      </c>
      <c r="L147">
        <v>500</v>
      </c>
      <c r="N147" t="str">
        <v>Telefonia Movil</v>
      </c>
      <c r="O147">
        <v>39.9</v>
      </c>
    </row>
    <row r="148">
      <c r="B148" t="str">
        <v>Egreso</v>
      </c>
      <c r="C148">
        <v>46478</v>
      </c>
      <c r="D148" t="str">
        <v>Servicio</v>
      </c>
      <c r="E148" t="str">
        <v>Luz</v>
      </c>
      <c r="F148">
        <v>120</v>
      </c>
      <c r="G148" t="str">
        <v>BBVA Bfree</v>
      </c>
      <c r="K148" t="str">
        <v>Agua + Mantenimiento</v>
      </c>
      <c r="L148">
        <v>160</v>
      </c>
      <c r="O148">
        <f>SUM(O145:O147)</f>
        <v>171.9</v>
      </c>
    </row>
    <row r="149">
      <c r="B149" t="str">
        <v>Egreso</v>
      </c>
      <c r="C149">
        <v>46478</v>
      </c>
      <c r="D149" t="str">
        <v>Servicio</v>
      </c>
      <c r="E149" t="str">
        <v>Gas</v>
      </c>
      <c r="F149">
        <v>50</v>
      </c>
      <c r="G149" t="str">
        <v>BBVA Bfree</v>
      </c>
      <c r="K149" t="str">
        <v>Pago de Tarjeta Interbank Amex</v>
      </c>
      <c r="L149">
        <f>F155</f>
        <v>171.9</v>
      </c>
    </row>
    <row r="150">
      <c r="B150" t="str">
        <v>Egreso</v>
      </c>
      <c r="C150">
        <v>46478</v>
      </c>
      <c r="D150" t="str">
        <v>Servicio</v>
      </c>
      <c r="E150" t="str">
        <v>Corte de Cabello</v>
      </c>
      <c r="F150">
        <v>20</v>
      </c>
      <c r="G150" t="str">
        <v>Interbank</v>
      </c>
      <c r="K150" t="str">
        <v>Pago de Tarjeta BBVA Bfree</v>
      </c>
      <c r="L150">
        <f>F156</f>
        <v>249</v>
      </c>
      <c r="N150" t="str">
        <v>BBVA Bfree</v>
      </c>
    </row>
    <row r="151">
      <c r="B151" t="str">
        <v>Egreso</v>
      </c>
      <c r="C151">
        <v>46478</v>
      </c>
      <c r="D151" t="str">
        <v>Gasto</v>
      </c>
      <c r="E151" t="str">
        <v>Pastilla Madre</v>
      </c>
      <c r="F151">
        <v>120</v>
      </c>
      <c r="G151" t="str">
        <v>Interbank Amex</v>
      </c>
      <c r="K151" t="str">
        <v>Prestamo BCP</v>
      </c>
      <c r="L151">
        <v>143.16</v>
      </c>
      <c r="N151" t="str">
        <v>Credito</v>
      </c>
      <c r="O151">
        <f>700-O156</f>
        <v>451</v>
      </c>
    </row>
    <row r="152">
      <c r="B152" t="str">
        <v>Egreso</v>
      </c>
      <c r="C152">
        <v>46478</v>
      </c>
      <c r="D152" t="str">
        <v>Servicio</v>
      </c>
      <c r="E152" t="str">
        <v>Pago de Tarjeta Ripley</v>
      </c>
      <c r="F152">
        <v>0</v>
      </c>
      <c r="G152" t="str">
        <v>Interbank</v>
      </c>
      <c r="K152" t="str">
        <v>Titulación</v>
      </c>
      <c r="L152">
        <f>F159</f>
        <v>520</v>
      </c>
    </row>
    <row r="153">
      <c r="B153" t="str">
        <v>Egreso</v>
      </c>
      <c r="C153">
        <v>46478</v>
      </c>
      <c r="D153" t="str">
        <v>Deuda</v>
      </c>
      <c r="E153" t="str">
        <v>Madre</v>
      </c>
      <c r="F153">
        <v>500</v>
      </c>
      <c r="G153" t="str">
        <v>Interbank</v>
      </c>
      <c r="K153" t="str">
        <v>iCloud</v>
      </c>
      <c r="L153">
        <v>15</v>
      </c>
      <c r="N153" t="str">
        <v>Internet</v>
      </c>
      <c r="O153">
        <v>79</v>
      </c>
    </row>
    <row r="154">
      <c r="B154" t="str">
        <v>Egreso</v>
      </c>
      <c r="C154">
        <v>46482</v>
      </c>
      <c r="D154" t="str">
        <v>Servicio</v>
      </c>
      <c r="E154" t="str">
        <v>Agua + Mantenimiento</v>
      </c>
      <c r="F154">
        <v>160</v>
      </c>
      <c r="G154" t="str">
        <v>Interbank</v>
      </c>
      <c r="L154">
        <f>SUM(L145:L153)</f>
        <v>1779.0600000000002</v>
      </c>
      <c r="N154" t="str">
        <v>Luz</v>
      </c>
      <c r="O154">
        <v>120</v>
      </c>
    </row>
    <row r="155">
      <c r="B155" t="str">
        <v>Egreso</v>
      </c>
      <c r="C155">
        <v>46482</v>
      </c>
      <c r="D155" t="str">
        <v>Servicio</v>
      </c>
      <c r="E155" t="str">
        <v>Pago de Tarjeta Interbank Amex</v>
      </c>
      <c r="F155">
        <f>O125</f>
        <v>171.9</v>
      </c>
      <c r="G155" t="str">
        <v>Interbank</v>
      </c>
      <c r="N155" t="str">
        <v>Gas</v>
      </c>
      <c r="O155">
        <v>50</v>
      </c>
    </row>
    <row r="156">
      <c r="B156" t="str">
        <v>Egreso</v>
      </c>
      <c r="C156">
        <v>46482</v>
      </c>
      <c r="D156" t="str">
        <v>Servicio</v>
      </c>
      <c r="E156" t="str">
        <v>Pago de Tarjeta BBVA Bfree</v>
      </c>
      <c r="F156">
        <f>O133</f>
        <v>249</v>
      </c>
      <c r="G156" t="str">
        <v>Interbank</v>
      </c>
      <c r="O156">
        <f>SUM(O153:O155)</f>
        <v>249</v>
      </c>
    </row>
    <row r="157">
      <c r="B157" t="str">
        <v>Egreso</v>
      </c>
      <c r="C157">
        <v>46492</v>
      </c>
      <c r="D157" t="str">
        <v>Deuda</v>
      </c>
      <c r="E157" t="str">
        <v>Prestamo BCP</v>
      </c>
      <c r="F157">
        <v>143.16</v>
      </c>
      <c r="G157" t="str">
        <v>Interbank</v>
      </c>
    </row>
    <row r="158">
      <c r="B158" t="str">
        <v>Egreso</v>
      </c>
      <c r="C158">
        <v>46492</v>
      </c>
      <c r="D158" t="str">
        <v>Servicio</v>
      </c>
      <c r="E158" t="str">
        <v>Telefonia Movil</v>
      </c>
      <c r="F158">
        <v>39.9</v>
      </c>
      <c r="G158" t="str">
        <v>Interbank Amex</v>
      </c>
    </row>
    <row r="159">
      <c r="B159" t="str">
        <v>Egreso</v>
      </c>
      <c r="C159">
        <v>46492</v>
      </c>
      <c r="D159" t="str">
        <v>Otro Egre</v>
      </c>
      <c r="E159" t="str">
        <v>Titulación</v>
      </c>
      <c r="F159">
        <v>520</v>
      </c>
      <c r="G159" t="str">
        <v>Interbank</v>
      </c>
    </row>
    <row r="160">
      <c r="B160" t="str">
        <v>Egreso</v>
      </c>
      <c r="C160">
        <v>46500</v>
      </c>
      <c r="D160" t="str">
        <v>Servicio</v>
      </c>
      <c r="E160" t="str">
        <v>iCloud</v>
      </c>
      <c r="F160">
        <v>15</v>
      </c>
      <c r="G160" t="str">
        <v>Interbank</v>
      </c>
    </row>
    <row r="164">
      <c r="B164" t="str">
        <v>Presupuesto Fijo Mensual</v>
      </c>
      <c r="E164" t="str">
        <v>Mayo</v>
      </c>
      <c r="K164" t="str">
        <v>Interbank</v>
      </c>
      <c r="N164" t="str">
        <v>Interbank Amex</v>
      </c>
    </row>
    <row r="165">
      <c r="B165" t="str">
        <v>Tipo</v>
      </c>
      <c r="C165" t="str">
        <v>Fecha</v>
      </c>
      <c r="D165" t="str">
        <v>Categoría</v>
      </c>
      <c r="E165" t="str">
        <v>Concepto</v>
      </c>
      <c r="F165" t="str">
        <v>Monto</v>
      </c>
      <c r="G165" t="str">
        <v>Entidad</v>
      </c>
      <c r="K165" t="str">
        <v>Debito</v>
      </c>
      <c r="L165">
        <f>F167-L176+F166</f>
        <v>740.5699999999999</v>
      </c>
      <c r="N165" t="str">
        <v>Credito</v>
      </c>
      <c r="O165">
        <f>1000-O170</f>
        <v>828.1</v>
      </c>
      <c r="Q165" t="str">
        <v>Saldo Final</v>
      </c>
      <c r="R165">
        <f>L165+O165+O173</f>
        <v>2019.67</v>
      </c>
    </row>
    <row r="166">
      <c r="B166" t="str">
        <v>Ingreso</v>
      </c>
      <c r="C166">
        <v>46508</v>
      </c>
      <c r="D166" t="str">
        <v>Otro Ing</v>
      </c>
      <c r="E166" t="str">
        <v>Bonificación Ahorro</v>
      </c>
      <c r="F166">
        <v>0</v>
      </c>
      <c r="G166" t="str">
        <v>Interbank</v>
      </c>
    </row>
    <row r="167">
      <c r="B167" t="str">
        <v>Ingreso</v>
      </c>
      <c r="C167">
        <v>46508</v>
      </c>
      <c r="D167" t="str">
        <v>Sueldo</v>
      </c>
      <c r="E167" t="str">
        <v>Sueldo</v>
      </c>
      <c r="F167">
        <v>2259.63</v>
      </c>
      <c r="G167" t="str">
        <v>Interbank</v>
      </c>
      <c r="K167" t="str">
        <v>Corte de Cabello</v>
      </c>
      <c r="L167">
        <v>20</v>
      </c>
      <c r="N167" t="str">
        <v>Spotify</v>
      </c>
      <c r="O167">
        <v>12</v>
      </c>
    </row>
    <row r="168">
      <c r="B168" t="str">
        <v>Egreso</v>
      </c>
      <c r="C168">
        <v>46508</v>
      </c>
      <c r="D168" t="str">
        <v>Servicio</v>
      </c>
      <c r="E168" t="str">
        <v>Spotify</v>
      </c>
      <c r="F168">
        <v>12</v>
      </c>
      <c r="G168" t="str">
        <v>Interbank Amex</v>
      </c>
      <c r="K168" t="str">
        <v>Pago de Tarjeta Ripley</v>
      </c>
      <c r="L168">
        <v>0</v>
      </c>
      <c r="N168" t="str">
        <v>Pastilla Madre</v>
      </c>
      <c r="O168">
        <v>120</v>
      </c>
    </row>
    <row r="169">
      <c r="B169" t="str">
        <v>Egreso</v>
      </c>
      <c r="C169">
        <v>46508</v>
      </c>
      <c r="D169" t="str">
        <v>Servicio</v>
      </c>
      <c r="E169" t="str">
        <v>Internet</v>
      </c>
      <c r="F169">
        <v>79</v>
      </c>
      <c r="G169" t="str">
        <v>BBVA Bfree</v>
      </c>
      <c r="K169" t="str">
        <v>Madre</v>
      </c>
      <c r="L169">
        <v>500</v>
      </c>
      <c r="N169" t="str">
        <v>Telefonia Movil</v>
      </c>
      <c r="O169">
        <v>39.9</v>
      </c>
    </row>
    <row r="170">
      <c r="B170" t="str">
        <v>Egreso</v>
      </c>
      <c r="C170">
        <v>46508</v>
      </c>
      <c r="D170" t="str">
        <v>Servicio</v>
      </c>
      <c r="E170" t="str">
        <v>Luz</v>
      </c>
      <c r="F170">
        <v>120</v>
      </c>
      <c r="G170" t="str">
        <v>BBVA Bfree</v>
      </c>
      <c r="K170" t="str">
        <v>Agua + Mantenimiento</v>
      </c>
      <c r="L170">
        <v>160</v>
      </c>
      <c r="O170">
        <f>SUM(O167:O169)</f>
        <v>171.9</v>
      </c>
    </row>
    <row r="171">
      <c r="B171" t="str">
        <v>Egreso</v>
      </c>
      <c r="C171">
        <v>46508</v>
      </c>
      <c r="D171" t="str">
        <v>Servicio</v>
      </c>
      <c r="E171" t="str">
        <v>Gas</v>
      </c>
      <c r="F171">
        <v>50</v>
      </c>
      <c r="G171" t="str">
        <v>BBVA Bfree</v>
      </c>
      <c r="K171" t="str">
        <v>Pago de Tarjeta Interbank Amex</v>
      </c>
      <c r="L171">
        <f>F177</f>
        <v>171.9</v>
      </c>
    </row>
    <row r="172">
      <c r="B172" t="str">
        <v>Egreso</v>
      </c>
      <c r="C172">
        <v>46508</v>
      </c>
      <c r="D172" t="str">
        <v>Servicio</v>
      </c>
      <c r="E172" t="str">
        <v>Corte de Cabello</v>
      </c>
      <c r="F172">
        <v>20</v>
      </c>
      <c r="G172" t="str">
        <v>Interbank</v>
      </c>
      <c r="K172" t="str">
        <v>Pago de Tarjeta BBVA Bfree</v>
      </c>
      <c r="L172">
        <f>F178</f>
        <v>249</v>
      </c>
      <c r="N172" t="str">
        <v>BBVA Bfree</v>
      </c>
    </row>
    <row r="173">
      <c r="B173" t="str">
        <v>Egreso</v>
      </c>
      <c r="C173">
        <v>46508</v>
      </c>
      <c r="D173" t="str">
        <v>Gasto</v>
      </c>
      <c r="E173" t="str">
        <v>Pastilla Madre</v>
      </c>
      <c r="F173">
        <v>120</v>
      </c>
      <c r="G173" t="str">
        <v>Interbank Amex</v>
      </c>
      <c r="K173" t="str">
        <v>Prestamo BCP</v>
      </c>
      <c r="L173">
        <v>143.16</v>
      </c>
      <c r="N173" t="str">
        <v>Credito</v>
      </c>
      <c r="O173">
        <f>700-O178</f>
        <v>451</v>
      </c>
    </row>
    <row r="174">
      <c r="B174" t="str">
        <v>Egreso</v>
      </c>
      <c r="C174">
        <v>46508</v>
      </c>
      <c r="D174" t="str">
        <v>Servicio</v>
      </c>
      <c r="E174" t="str">
        <v>Pago de Tarjeta Ripley</v>
      </c>
      <c r="F174">
        <v>0</v>
      </c>
      <c r="G174" t="str">
        <v>Interbank</v>
      </c>
      <c r="K174" t="str">
        <v>Titulación</v>
      </c>
      <c r="L174">
        <f>F181</f>
        <v>260</v>
      </c>
    </row>
    <row r="175">
      <c r="B175" t="str">
        <v>Egreso</v>
      </c>
      <c r="C175">
        <v>46508</v>
      </c>
      <c r="D175" t="str">
        <v>Deuda</v>
      </c>
      <c r="E175" t="str">
        <v>Madre</v>
      </c>
      <c r="F175">
        <v>500</v>
      </c>
      <c r="G175" t="str">
        <v>Interbank</v>
      </c>
      <c r="K175" t="str">
        <v>iCloud</v>
      </c>
      <c r="L175">
        <v>15</v>
      </c>
      <c r="N175" t="str">
        <v>Internet</v>
      </c>
      <c r="O175">
        <v>79</v>
      </c>
    </row>
    <row r="176">
      <c r="B176" t="str">
        <v>Egreso</v>
      </c>
      <c r="C176">
        <v>46512</v>
      </c>
      <c r="D176" t="str">
        <v>Servicio</v>
      </c>
      <c r="E176" t="str">
        <v>Agua + Mantenimiento</v>
      </c>
      <c r="F176">
        <v>160</v>
      </c>
      <c r="G176" t="str">
        <v>Interbank</v>
      </c>
      <c r="L176">
        <f>SUM(L167:L175)</f>
        <v>1519.0600000000002</v>
      </c>
      <c r="N176" t="str">
        <v>Luz</v>
      </c>
      <c r="O176">
        <v>120</v>
      </c>
    </row>
    <row r="177">
      <c r="B177" t="str">
        <v>Egreso</v>
      </c>
      <c r="C177">
        <v>46512</v>
      </c>
      <c r="D177" t="str">
        <v>Servicio</v>
      </c>
      <c r="E177" t="str">
        <v>Pago de Tarjeta Interbank Amex</v>
      </c>
      <c r="F177">
        <f>O148</f>
        <v>171.9</v>
      </c>
      <c r="G177" t="str">
        <v>Interbank</v>
      </c>
      <c r="N177" t="str">
        <v>Gas</v>
      </c>
      <c r="O177">
        <v>50</v>
      </c>
    </row>
    <row r="178">
      <c r="B178" t="str">
        <v>Egreso</v>
      </c>
      <c r="C178">
        <v>46512</v>
      </c>
      <c r="D178" t="str">
        <v>Servicio</v>
      </c>
      <c r="E178" t="str">
        <v>Pago de Tarjeta BBVA Bfree</v>
      </c>
      <c r="F178">
        <f>O156</f>
        <v>249</v>
      </c>
      <c r="G178" t="str">
        <v>Interbank</v>
      </c>
      <c r="O178">
        <f>SUM(O175:O177)</f>
        <v>249</v>
      </c>
    </row>
    <row r="179">
      <c r="B179" t="str">
        <v>Egreso</v>
      </c>
      <c r="C179">
        <v>46522</v>
      </c>
      <c r="D179" t="str">
        <v>Deuda</v>
      </c>
      <c r="E179" t="str">
        <v>Prestamo BCP</v>
      </c>
      <c r="F179">
        <v>143.16</v>
      </c>
      <c r="G179" t="str">
        <v>Interbank</v>
      </c>
    </row>
    <row r="180">
      <c r="B180" t="str">
        <v>Egreso</v>
      </c>
      <c r="C180">
        <v>46522</v>
      </c>
      <c r="D180" t="str">
        <v>Servicio</v>
      </c>
      <c r="E180" t="str">
        <v>Telefonia Movil</v>
      </c>
      <c r="F180">
        <v>39.9</v>
      </c>
      <c r="G180" t="str">
        <v>Interbank Amex</v>
      </c>
    </row>
    <row r="181">
      <c r="B181" t="str">
        <v>Egreso</v>
      </c>
      <c r="C181">
        <v>46522</v>
      </c>
      <c r="D181" t="str">
        <v>Otro Egre</v>
      </c>
      <c r="E181" t="str">
        <v>Titulación</v>
      </c>
      <c r="F181">
        <v>260</v>
      </c>
      <c r="G181" t="str">
        <v>Interbank</v>
      </c>
    </row>
    <row r="182">
      <c r="B182" t="str">
        <v>Egreso</v>
      </c>
      <c r="C182">
        <v>46530</v>
      </c>
      <c r="D182" t="str">
        <v>Servicio</v>
      </c>
      <c r="E182" t="str">
        <v>iCloud</v>
      </c>
      <c r="F182">
        <v>15</v>
      </c>
      <c r="G182" t="str">
        <v>Interbank</v>
      </c>
    </row>
    <row r="186">
      <c r="B186" t="str">
        <v>Presupuesto Fijo Mensual</v>
      </c>
      <c r="E186" t="str">
        <v>Junio</v>
      </c>
      <c r="K186" t="str">
        <v>Interbank</v>
      </c>
      <c r="N186" t="str">
        <v>Interbank Amex</v>
      </c>
    </row>
    <row r="187">
      <c r="B187" t="str">
        <v>Tipo</v>
      </c>
      <c r="C187" t="str">
        <v>Fecha</v>
      </c>
      <c r="D187" t="str">
        <v>Categoría</v>
      </c>
      <c r="E187" t="str">
        <v>Concepto</v>
      </c>
      <c r="F187" t="str">
        <v>Monto</v>
      </c>
      <c r="G187" t="str">
        <v>Entidad</v>
      </c>
      <c r="K187" t="str">
        <v>Debito</v>
      </c>
      <c r="L187">
        <f>F189-L198+F188</f>
        <v>740.5699999999999</v>
      </c>
      <c r="N187" t="str">
        <v>Credito</v>
      </c>
      <c r="O187">
        <f>1000-O192</f>
        <v>828.1</v>
      </c>
      <c r="Q187" t="str">
        <v>Saldo Final</v>
      </c>
      <c r="R187">
        <f>L187+O187+O195</f>
        <v>2019.67</v>
      </c>
    </row>
    <row r="188">
      <c r="B188" t="str">
        <v>Ingreso</v>
      </c>
      <c r="C188">
        <v>46539</v>
      </c>
      <c r="D188" t="str">
        <v>Otro Ing</v>
      </c>
      <c r="E188" t="str">
        <v>Bonificación Ahorro</v>
      </c>
      <c r="F188">
        <v>0</v>
      </c>
      <c r="G188" t="str">
        <v>Interbank</v>
      </c>
    </row>
    <row r="189">
      <c r="B189" t="str">
        <v>Ingreso</v>
      </c>
      <c r="C189">
        <v>46539</v>
      </c>
      <c r="D189" t="str">
        <v>Sueldo</v>
      </c>
      <c r="E189" t="str">
        <v>Sueldo</v>
      </c>
      <c r="F189">
        <v>2259.63</v>
      </c>
      <c r="G189" t="str">
        <v>Interbank</v>
      </c>
      <c r="K189" t="str">
        <v>Corte de Cabello</v>
      </c>
      <c r="L189">
        <v>20</v>
      </c>
      <c r="N189" t="str">
        <v>Spotify</v>
      </c>
      <c r="O189">
        <v>12</v>
      </c>
    </row>
    <row r="190">
      <c r="B190" t="str">
        <v>Egreso</v>
      </c>
      <c r="C190">
        <v>46539</v>
      </c>
      <c r="D190" t="str">
        <v>Servicio</v>
      </c>
      <c r="E190" t="str">
        <v>Spotify</v>
      </c>
      <c r="F190">
        <v>12</v>
      </c>
      <c r="G190" t="str">
        <v>Interbank Amex</v>
      </c>
      <c r="K190" t="str">
        <v>Pago de Tarjeta Ripley</v>
      </c>
      <c r="L190">
        <v>0</v>
      </c>
      <c r="N190" t="str">
        <v>Pastilla Madre</v>
      </c>
      <c r="O190">
        <v>120</v>
      </c>
    </row>
    <row r="191">
      <c r="B191" t="str">
        <v>Egreso</v>
      </c>
      <c r="C191">
        <v>46539</v>
      </c>
      <c r="D191" t="str">
        <v>Servicio</v>
      </c>
      <c r="E191" t="str">
        <v>Internet</v>
      </c>
      <c r="F191">
        <v>79</v>
      </c>
      <c r="G191" t="str">
        <v>BBVA Bfree</v>
      </c>
      <c r="K191" t="str">
        <v>Madre</v>
      </c>
      <c r="L191">
        <v>500</v>
      </c>
      <c r="N191" t="str">
        <v>Telefonia Movil</v>
      </c>
      <c r="O191">
        <v>39.9</v>
      </c>
    </row>
    <row r="192">
      <c r="B192" t="str">
        <v>Egreso</v>
      </c>
      <c r="C192">
        <v>46539</v>
      </c>
      <c r="D192" t="str">
        <v>Servicio</v>
      </c>
      <c r="E192" t="str">
        <v>Luz</v>
      </c>
      <c r="F192">
        <v>120</v>
      </c>
      <c r="G192" t="str">
        <v>BBVA Bfree</v>
      </c>
      <c r="K192" t="str">
        <v>Agua + Mantenimiento</v>
      </c>
      <c r="L192">
        <v>160</v>
      </c>
      <c r="O192">
        <f>SUM(O189:O191)</f>
        <v>171.9</v>
      </c>
    </row>
    <row r="193">
      <c r="B193" t="str">
        <v>Egreso</v>
      </c>
      <c r="C193">
        <v>46539</v>
      </c>
      <c r="D193" t="str">
        <v>Servicio</v>
      </c>
      <c r="E193" t="str">
        <v>Gas</v>
      </c>
      <c r="F193">
        <v>50</v>
      </c>
      <c r="G193" t="str">
        <v>BBVA Bfree</v>
      </c>
      <c r="K193" t="str">
        <v>Pago de Tarjeta Interbank Amex</v>
      </c>
      <c r="L193">
        <f>F199</f>
        <v>171.9</v>
      </c>
    </row>
    <row r="194">
      <c r="B194" t="str">
        <v>Egreso</v>
      </c>
      <c r="C194">
        <v>46539</v>
      </c>
      <c r="D194" t="str">
        <v>Servicio</v>
      </c>
      <c r="E194" t="str">
        <v>Corte de Cabello</v>
      </c>
      <c r="F194">
        <v>20</v>
      </c>
      <c r="G194" t="str">
        <v>Interbank</v>
      </c>
      <c r="K194" t="str">
        <v>Pago de Tarjeta BBVA Bfree</v>
      </c>
      <c r="L194">
        <f>F200</f>
        <v>249</v>
      </c>
      <c r="N194" t="str">
        <v>BBVA Bfree</v>
      </c>
    </row>
    <row r="195">
      <c r="B195" t="str">
        <v>Egreso</v>
      </c>
      <c r="C195">
        <v>46539</v>
      </c>
      <c r="D195" t="str">
        <v>Gasto</v>
      </c>
      <c r="E195" t="str">
        <v>Pastilla Madre</v>
      </c>
      <c r="F195">
        <v>120</v>
      </c>
      <c r="G195" t="str">
        <v>Interbank Amex</v>
      </c>
      <c r="K195" t="str">
        <v>Prestamo BCP</v>
      </c>
      <c r="L195">
        <v>143.16</v>
      </c>
      <c r="N195" t="str">
        <v>Credito</v>
      </c>
      <c r="O195">
        <f>700-O200</f>
        <v>451</v>
      </c>
    </row>
    <row r="196">
      <c r="B196" t="str">
        <v>Egreso</v>
      </c>
      <c r="C196">
        <v>46539</v>
      </c>
      <c r="D196" t="str">
        <v>Servicio</v>
      </c>
      <c r="E196" t="str">
        <v>Pago de Tarjeta Ripley</v>
      </c>
      <c r="F196">
        <v>0</v>
      </c>
      <c r="G196" t="str">
        <v>Interbank</v>
      </c>
      <c r="K196" t="str">
        <v>Titulación</v>
      </c>
      <c r="L196">
        <f>F203</f>
        <v>260</v>
      </c>
    </row>
    <row r="197">
      <c r="B197" t="str">
        <v>Egreso</v>
      </c>
      <c r="C197">
        <v>46539</v>
      </c>
      <c r="D197" t="str">
        <v>Deuda</v>
      </c>
      <c r="E197" t="str">
        <v>Madre</v>
      </c>
      <c r="F197">
        <v>500</v>
      </c>
      <c r="G197" t="str">
        <v>Interbank</v>
      </c>
      <c r="K197" t="str">
        <v>iCloud</v>
      </c>
      <c r="L197">
        <v>15</v>
      </c>
      <c r="N197" t="str">
        <v>Internet</v>
      </c>
      <c r="O197">
        <v>79</v>
      </c>
    </row>
    <row r="198">
      <c r="B198" t="str">
        <v>Egreso</v>
      </c>
      <c r="C198">
        <v>46543</v>
      </c>
      <c r="D198" t="str">
        <v>Servicio</v>
      </c>
      <c r="E198" t="str">
        <v>Agua + Mantenimiento</v>
      </c>
      <c r="F198">
        <v>160</v>
      </c>
      <c r="G198" t="str">
        <v>Interbank</v>
      </c>
      <c r="L198">
        <f>SUM(L189:L197)</f>
        <v>1519.0600000000002</v>
      </c>
      <c r="N198" t="str">
        <v>Luz</v>
      </c>
      <c r="O198">
        <v>120</v>
      </c>
    </row>
    <row r="199">
      <c r="B199" t="str">
        <v>Egreso</v>
      </c>
      <c r="C199">
        <v>46543</v>
      </c>
      <c r="D199" t="str">
        <v>Servicio</v>
      </c>
      <c r="E199" t="str">
        <v>Pago de Tarjeta Interbank Amex</v>
      </c>
      <c r="F199">
        <f>O170</f>
        <v>171.9</v>
      </c>
      <c r="G199" t="str">
        <v>Interbank</v>
      </c>
      <c r="N199" t="str">
        <v>Gas</v>
      </c>
      <c r="O199">
        <v>50</v>
      </c>
    </row>
    <row r="200">
      <c r="B200" t="str">
        <v>Egreso</v>
      </c>
      <c r="C200">
        <v>46543</v>
      </c>
      <c r="D200" t="str">
        <v>Servicio</v>
      </c>
      <c r="E200" t="str">
        <v>Pago de Tarjeta BBVA Bfree</v>
      </c>
      <c r="F200">
        <f>O178</f>
        <v>249</v>
      </c>
      <c r="G200" t="str">
        <v>Interbank</v>
      </c>
      <c r="O200">
        <f>SUM(O197:O199)</f>
        <v>249</v>
      </c>
    </row>
    <row r="201">
      <c r="B201" t="str">
        <v>Egreso</v>
      </c>
      <c r="C201">
        <v>46553</v>
      </c>
      <c r="D201" t="str">
        <v>Deuda</v>
      </c>
      <c r="E201" t="str">
        <v>Prestamo BCP</v>
      </c>
      <c r="F201">
        <v>143.16</v>
      </c>
      <c r="G201" t="str">
        <v>Interbank</v>
      </c>
    </row>
    <row r="202">
      <c r="B202" t="str">
        <v>Egreso</v>
      </c>
      <c r="C202">
        <v>46553</v>
      </c>
      <c r="D202" t="str">
        <v>Servicio</v>
      </c>
      <c r="E202" t="str">
        <v>Telefonia Movil</v>
      </c>
      <c r="F202">
        <v>39.9</v>
      </c>
      <c r="G202" t="str">
        <v>Interbank Amex</v>
      </c>
    </row>
    <row r="203">
      <c r="B203" t="str">
        <v>Egreso</v>
      </c>
      <c r="C203">
        <v>46553</v>
      </c>
      <c r="D203" t="str">
        <v>Otro Egre</v>
      </c>
      <c r="E203" t="str">
        <v>Titulación</v>
      </c>
      <c r="F203">
        <v>260</v>
      </c>
      <c r="G203" t="str">
        <v>Interbank</v>
      </c>
    </row>
    <row r="204">
      <c r="B204" t="str">
        <v>Egreso</v>
      </c>
      <c r="C204">
        <v>46561</v>
      </c>
      <c r="D204" t="str">
        <v>Servicio</v>
      </c>
      <c r="E204" t="str">
        <v>iCloud</v>
      </c>
      <c r="F204">
        <v>15</v>
      </c>
      <c r="G204" t="str">
        <v>Interbank</v>
      </c>
    </row>
    <row r="208">
      <c r="B208" t="str">
        <v>Presupuesto Fijo Mensual</v>
      </c>
      <c r="E208" t="str">
        <v>Julio</v>
      </c>
      <c r="K208" t="str">
        <v>Interbank</v>
      </c>
      <c r="N208" t="str">
        <v>Interbank Amex</v>
      </c>
    </row>
    <row r="209">
      <c r="B209" t="str">
        <v>Tipo</v>
      </c>
      <c r="C209" t="str">
        <v>Fecha</v>
      </c>
      <c r="D209" t="str">
        <v>Categoría</v>
      </c>
      <c r="E209" t="str">
        <v>Concepto</v>
      </c>
      <c r="F209" t="str">
        <v>Monto</v>
      </c>
      <c r="G209" t="str">
        <v>Entidad</v>
      </c>
      <c r="K209" t="str">
        <v>Debito</v>
      </c>
      <c r="L209">
        <f>F211-L217+F210+F223</f>
        <v>4343.73</v>
      </c>
      <c r="N209" t="str">
        <v>Credito</v>
      </c>
      <c r="O209">
        <f>1000-O214</f>
        <v>828.1</v>
      </c>
      <c r="Q209" t="str">
        <v>Saldo Final</v>
      </c>
      <c r="R209">
        <f>L209+O209+O217</f>
        <v>5622.83</v>
      </c>
    </row>
    <row r="210">
      <c r="B210" t="str">
        <v>Ingreso</v>
      </c>
      <c r="C210">
        <v>46204</v>
      </c>
      <c r="D210" t="str">
        <v>Otro Ing</v>
      </c>
      <c r="E210" t="str">
        <v>Bonificación Ahorro</v>
      </c>
      <c r="F210">
        <v>0</v>
      </c>
      <c r="G210" t="str">
        <v>Interbank</v>
      </c>
    </row>
    <row r="211">
      <c r="B211" t="str">
        <v>Ingreso</v>
      </c>
      <c r="C211">
        <v>46204</v>
      </c>
      <c r="D211" t="str">
        <v>Sueldo</v>
      </c>
      <c r="E211" t="str">
        <v>Sueldo</v>
      </c>
      <c r="F211">
        <v>2259.63</v>
      </c>
      <c r="G211" t="str">
        <v>Interbank</v>
      </c>
      <c r="K211" t="str">
        <v>Corte de Cabello</v>
      </c>
      <c r="L211">
        <v>20</v>
      </c>
      <c r="N211" t="str">
        <v>Spotify</v>
      </c>
      <c r="O211">
        <v>12</v>
      </c>
    </row>
    <row r="212">
      <c r="B212" t="str">
        <v>Egreso</v>
      </c>
      <c r="C212">
        <v>46204</v>
      </c>
      <c r="D212" t="str">
        <v>Servicio</v>
      </c>
      <c r="E212" t="str">
        <v>Spotify</v>
      </c>
      <c r="F212">
        <v>12</v>
      </c>
      <c r="G212" t="str">
        <v>Interbank Amex</v>
      </c>
      <c r="K212" t="str">
        <v>Pago de Tarjeta Ripley</v>
      </c>
      <c r="L212">
        <v>0</v>
      </c>
      <c r="N212" t="str">
        <v>Pastilla Madre</v>
      </c>
      <c r="O212">
        <v>120</v>
      </c>
    </row>
    <row r="213">
      <c r="B213" t="str">
        <v>Egreso</v>
      </c>
      <c r="C213">
        <v>46204</v>
      </c>
      <c r="D213" t="str">
        <v>Servicio</v>
      </c>
      <c r="E213" t="str">
        <v>Internet</v>
      </c>
      <c r="F213">
        <v>79</v>
      </c>
      <c r="G213" t="str">
        <v>BBVA Bfree</v>
      </c>
      <c r="K213" t="str">
        <v>Agua + Mantenimiento</v>
      </c>
      <c r="L213">
        <v>160</v>
      </c>
      <c r="N213" t="str">
        <v>Telefonia Movil</v>
      </c>
      <c r="O213">
        <v>39.9</v>
      </c>
    </row>
    <row r="214">
      <c r="B214" t="str">
        <v>Egreso</v>
      </c>
      <c r="C214">
        <v>46204</v>
      </c>
      <c r="D214" t="str">
        <v>Servicio</v>
      </c>
      <c r="E214" t="str">
        <v>Luz</v>
      </c>
      <c r="F214">
        <v>120</v>
      </c>
      <c r="G214" t="str">
        <v>BBVA Bfree</v>
      </c>
      <c r="K214" t="str">
        <v>Pago de Tarjeta Interbank Amex</v>
      </c>
      <c r="L214">
        <f>F220</f>
        <v>171.9</v>
      </c>
      <c r="O214">
        <f>SUM(O211:O213)</f>
        <v>171.9</v>
      </c>
    </row>
    <row r="215">
      <c r="B215" t="str">
        <v>Egreso</v>
      </c>
      <c r="C215">
        <v>46204</v>
      </c>
      <c r="D215" t="str">
        <v>Servicio</v>
      </c>
      <c r="E215" t="str">
        <v>Gas</v>
      </c>
      <c r="F215">
        <v>50</v>
      </c>
      <c r="G215" t="str">
        <v>BBVA Bfree</v>
      </c>
      <c r="K215" t="str">
        <v>Pago de Tarjeta BBVA Bfree</v>
      </c>
      <c r="L215">
        <f>F221</f>
        <v>249</v>
      </c>
    </row>
    <row r="216">
      <c r="B216" t="str">
        <v>Egreso</v>
      </c>
      <c r="C216">
        <v>46204</v>
      </c>
      <c r="D216" t="str">
        <v>Servicio</v>
      </c>
      <c r="E216" t="str">
        <v>Corte de Cabello</v>
      </c>
      <c r="F216">
        <v>20</v>
      </c>
      <c r="G216" t="str">
        <v>Interbank</v>
      </c>
      <c r="K216" t="str">
        <v>iCloud</v>
      </c>
      <c r="L216">
        <v>15</v>
      </c>
      <c r="N216" t="str">
        <v>BBVA Bfree</v>
      </c>
    </row>
    <row r="217">
      <c r="B217" t="str">
        <v>Egreso</v>
      </c>
      <c r="C217">
        <v>46204</v>
      </c>
      <c r="D217" t="str">
        <v>Gasto</v>
      </c>
      <c r="E217" t="str">
        <v>Pastilla Madre</v>
      </c>
      <c r="F217">
        <v>120</v>
      </c>
      <c r="G217" t="str">
        <v>Interbank Amex</v>
      </c>
      <c r="L217">
        <f>SUM(L211:L216)</f>
        <v>615.9</v>
      </c>
      <c r="N217" t="str">
        <v>Credito</v>
      </c>
      <c r="O217">
        <f>700-O222</f>
        <v>451</v>
      </c>
    </row>
    <row r="218">
      <c r="B218" t="str">
        <v>Egreso</v>
      </c>
      <c r="C218">
        <v>46204</v>
      </c>
      <c r="D218" t="str">
        <v>Servicio</v>
      </c>
      <c r="E218" t="str">
        <v>Pago de Tarjeta Ripley</v>
      </c>
      <c r="F218">
        <v>0</v>
      </c>
      <c r="G218" t="str">
        <v>Interbank</v>
      </c>
    </row>
    <row r="219">
      <c r="B219" t="str">
        <v>Egreso</v>
      </c>
      <c r="C219">
        <v>46208</v>
      </c>
      <c r="D219" t="str">
        <v>Servicio</v>
      </c>
      <c r="E219" t="str">
        <v>Agua + Mantenimiento</v>
      </c>
      <c r="F219">
        <v>160</v>
      </c>
      <c r="G219" t="str">
        <v>Interbank</v>
      </c>
      <c r="N219" t="str">
        <v>Internet</v>
      </c>
      <c r="O219">
        <v>79</v>
      </c>
    </row>
    <row r="220">
      <c r="B220" t="str">
        <v>Egreso</v>
      </c>
      <c r="C220">
        <v>46208</v>
      </c>
      <c r="D220" t="str">
        <v>Servicio</v>
      </c>
      <c r="E220" t="str">
        <v>Pago de Tarjeta Interbank Amex</v>
      </c>
      <c r="F220">
        <f>O192</f>
        <v>171.9</v>
      </c>
      <c r="G220" t="str">
        <v>Interbank</v>
      </c>
      <c r="N220" t="str">
        <v>Luz</v>
      </c>
      <c r="O220">
        <v>120</v>
      </c>
    </row>
    <row r="221">
      <c r="B221" t="str">
        <v>Egreso</v>
      </c>
      <c r="C221">
        <v>46208</v>
      </c>
      <c r="D221" t="str">
        <v>Servicio</v>
      </c>
      <c r="E221" t="str">
        <v>Pago de Tarjeta BBVA Bfree</v>
      </c>
      <c r="F221">
        <f>O200</f>
        <v>249</v>
      </c>
      <c r="G221" t="str">
        <v>Interbank</v>
      </c>
      <c r="N221" t="str">
        <v>Gas</v>
      </c>
      <c r="O221">
        <v>50</v>
      </c>
    </row>
    <row r="222">
      <c r="B222" t="str">
        <v>Egreso</v>
      </c>
      <c r="C222">
        <v>46218</v>
      </c>
      <c r="D222" t="str">
        <v>Servicio</v>
      </c>
      <c r="E222" t="str">
        <v>Telefonia Movil</v>
      </c>
      <c r="F222">
        <v>39.9</v>
      </c>
      <c r="G222" t="str">
        <v>Interbank Amex</v>
      </c>
      <c r="O222">
        <f>SUM(O219:O221)</f>
        <v>249</v>
      </c>
    </row>
    <row r="223">
      <c r="B223" t="str">
        <v>Ingreso</v>
      </c>
      <c r="C223">
        <v>46218</v>
      </c>
      <c r="D223" t="str">
        <v>Otro Ing</v>
      </c>
      <c r="E223" t="str">
        <v>Gratificación</v>
      </c>
      <c r="F223">
        <v>2700</v>
      </c>
      <c r="G223" t="str">
        <v>Interbank</v>
      </c>
    </row>
    <row r="224">
      <c r="B224" t="str">
        <v>Egreso</v>
      </c>
      <c r="C224">
        <v>46226</v>
      </c>
      <c r="D224" t="str">
        <v>Servicio</v>
      </c>
      <c r="E224" t="str">
        <v>iCloud</v>
      </c>
      <c r="F224">
        <v>15</v>
      </c>
      <c r="G224" t="str">
        <v>Interbank</v>
      </c>
    </row>
    <row r="234">
      <c r="B234" t="str">
        <v>Mes</v>
      </c>
      <c r="C234" t="str">
        <v>Ingreso</v>
      </c>
      <c r="D234" t="str">
        <v>Egreso</v>
      </c>
      <c r="E234" t="str">
        <v>Ahorro</v>
      </c>
      <c r="H234" t="str">
        <v>Concepto</v>
      </c>
      <c r="I234" t="str">
        <v>SubConcepto</v>
      </c>
      <c r="J234" t="str">
        <v>Fecha</v>
      </c>
      <c r="K234" t="str">
        <v>Monto</v>
      </c>
    </row>
    <row r="235">
      <c r="B235" t="str">
        <v>Enero</v>
      </c>
      <c r="C235">
        <f>SUMIFS(Maestro!E:E, Maestro!G:G, B235, Maestro!A:A, "Ingreso")</f>
        <v>2544.58</v>
      </c>
      <c r="D235">
        <f>SUMIFS(Maestro!E:E, Maestro!G:G, B235, Maestro!A:A, "Egreso")</f>
        <v>2493.050000000001</v>
      </c>
      <c r="E235">
        <f>SUMIFS(Maestro!E:E, Maestro!G:G, B235, Maestro!C:C, "Ahorro")</f>
        <v>0</v>
      </c>
      <c r="H235" t="str">
        <v>Conciertos</v>
      </c>
      <c r="I235" t="str">
        <v>Bad Bunny</v>
      </c>
      <c r="J235">
        <v>46039</v>
      </c>
      <c r="K235">
        <v>650</v>
      </c>
    </row>
    <row r="236">
      <c r="B236" t="str">
        <v>Febrero</v>
      </c>
      <c r="C236">
        <f>SUMIFS(Maestro!E:E, Maestro!G:G, B236, Maestro!A:A, "Ingreso")</f>
        <v>5975.7</v>
      </c>
      <c r="D236">
        <f>SUMIFS(Maestro!E:E, Maestro!G:G, B236, Maestro!A:A, "Egreso")</f>
        <v>4773.93</v>
      </c>
      <c r="E236">
        <f>SUMIFS(Maestro!E:E, Maestro!G:G, B236, Maestro!C:C, "Ahorro")</f>
        <v>0</v>
      </c>
      <c r="H236" t="str">
        <v>Viajes</v>
      </c>
      <c r="I236" t="str">
        <v>Laraos</v>
      </c>
      <c r="J236">
        <v>46067</v>
      </c>
      <c r="K236">
        <v>160</v>
      </c>
    </row>
    <row r="237">
      <c r="B237" t="str">
        <v>Marzo</v>
      </c>
      <c r="C237">
        <f>SUMIFS(Maestro!E:E, Maestro!G:G, B237, Maestro!A:A, "Ingreso")</f>
        <v>3968.67</v>
      </c>
      <c r="D237">
        <f>SUMIFS(Maestro!E:E, Maestro!G:G, B237, Maestro!A:A, "Egreso")</f>
        <v>2874.5700000000006</v>
      </c>
      <c r="E237">
        <f>SUMIFS(Maestro!E:E, Maestro!G:G, B237, Maestro!C:C, "Ahorro")</f>
        <v>0</v>
      </c>
      <c r="H237" t="str">
        <v>Viajes</v>
      </c>
      <c r="I237" t="str">
        <v>Argentina</v>
      </c>
      <c r="J237">
        <v>46102</v>
      </c>
      <c r="K237">
        <v>5200</v>
      </c>
    </row>
    <row r="238">
      <c r="B238" t="str">
        <v>Abril</v>
      </c>
      <c r="C238">
        <f>SUMIFS(Maestro!E:E, Maestro!G:G, B238, Maestro!A:A, "Ingreso")</f>
        <v>3661.67</v>
      </c>
      <c r="D238">
        <f>SUMIFS(Maestro!E:E, Maestro!G:G, B238, Maestro!A:A, "Egreso")</f>
        <v>3648.6499999999996</v>
      </c>
      <c r="E238">
        <f>SUMIFS(Maestro!E:E, Maestro!G:G, B238, Maestro!C:C, "Ahorro")</f>
        <v>0</v>
      </c>
      <c r="H238" t="str">
        <v>Viajes</v>
      </c>
      <c r="I238" t="str">
        <v>Raura</v>
      </c>
      <c r="J238">
        <v>46110</v>
      </c>
      <c r="K238">
        <v>200</v>
      </c>
    </row>
    <row r="239">
      <c r="B239" t="str">
        <v>Mayo</v>
      </c>
      <c r="C239">
        <f>SUMIFS(Maestro!E:E, Maestro!G:G, B239, Maestro!A:A, "Ingreso")</f>
        <v>4577.7</v>
      </c>
      <c r="D239">
        <f>SUMIFS(Maestro!E:E, Maestro!G:G, B239, Maestro!A:A, "Egreso")</f>
        <v>4134.200000000001</v>
      </c>
      <c r="E239">
        <f>SUMIFS(Maestro!E:E, Maestro!G:G, B239, Maestro!C:C, "Ahorro")</f>
        <v>0</v>
      </c>
      <c r="H239" t="str">
        <v>Viajes</v>
      </c>
      <c r="I239" t="str">
        <v>Piura</v>
      </c>
      <c r="J239">
        <v>46119</v>
      </c>
      <c r="K239">
        <v>900</v>
      </c>
    </row>
    <row r="240">
      <c r="B240" t="str">
        <v>Junio</v>
      </c>
      <c r="C240">
        <f>SUMIFS(Maestro!E:E, Maestro!G:G, B240, Maestro!A:A, "Ingreso")</f>
        <v>7332.88</v>
      </c>
      <c r="D240">
        <f>SUMIFS(Maestro!E:E, Maestro!G:G, B240, Maestro!A:A, "Egreso")</f>
        <v>6362.099999999999</v>
      </c>
      <c r="E240">
        <f>SUMIFS(Maestro!E:E, Maestro!G:G, B240, Maestro!C:C, "Ahorro")</f>
        <v>0</v>
      </c>
      <c r="H240" t="str">
        <v>Conciertos</v>
      </c>
      <c r="I240" t="str">
        <v>Milo J</v>
      </c>
      <c r="J240">
        <v>46129</v>
      </c>
      <c r="K240">
        <v>180</v>
      </c>
    </row>
    <row r="241">
      <c r="B241" t="str">
        <v>Julio</v>
      </c>
      <c r="C241">
        <f>SUMIFS(Maestro!E:E, Maestro!G:G, B241, Maestro!A:A, "Ingreso")</f>
        <v>7267.23</v>
      </c>
      <c r="D241">
        <f>SUMIFS(Maestro!E:E, Maestro!G:G, B241, Maestro!A:A, "Egreso")</f>
        <v>6420.639999999999</v>
      </c>
      <c r="E241">
        <f>SUMIFS(Maestro!E:E, Maestro!G:G, B241, Maestro!C:C, "Ahorro")</f>
        <v>0</v>
      </c>
      <c r="H241" t="str">
        <v>Viajes</v>
      </c>
      <c r="I241" t="str">
        <v>Cieneguilla</v>
      </c>
      <c r="J241">
        <v>46143</v>
      </c>
      <c r="K241">
        <v>190</v>
      </c>
    </row>
    <row r="242">
      <c r="B242" t="str">
        <v>Agosto</v>
      </c>
      <c r="C242">
        <f>SUMIFS(Maestro!E:E, Maestro!G:G, B242, Maestro!A:A, "Ingreso")</f>
        <v>5237.9000000000015</v>
      </c>
      <c r="D242">
        <f>SUMIFS(Maestro!E:E, Maestro!G:G, B242, Maestro!A:A, "Egreso")</f>
        <v>4368.569999999999</v>
      </c>
      <c r="E242">
        <f>SUMIFS(Maestro!E:E, Maestro!G:G, B242, Maestro!C:C, "Ahorro")</f>
        <v>0</v>
      </c>
      <c r="H242" t="str">
        <v>Conciertos</v>
      </c>
      <c r="I242" t="str">
        <v>Soda Stereo</v>
      </c>
      <c r="J242">
        <v>46164</v>
      </c>
      <c r="K242">
        <f>196+80</f>
        <v>276</v>
      </c>
    </row>
    <row r="243">
      <c r="B243" t="str">
        <v>Setiembre</v>
      </c>
      <c r="C243">
        <f>SUMIFS(Maestro!E:E, Maestro!G:G, B243, Maestro!A:A, "Ingreso")</f>
        <v>4554.27</v>
      </c>
      <c r="D243">
        <f>SUMIFS(Maestro!E:E, Maestro!G:G, B243, Maestro!A:A, "Egreso")</f>
        <v>2474</v>
      </c>
      <c r="E243">
        <f>SUMIFS(Maestro!E:E, Maestro!G:G, B243, Maestro!C:C, "Ahorro")</f>
        <v>0</v>
      </c>
      <c r="H243" t="str">
        <v>Conciertos</v>
      </c>
      <c r="I243" t="str">
        <v>Rawayana</v>
      </c>
      <c r="J243">
        <v>46249</v>
      </c>
      <c r="K243">
        <v>180</v>
      </c>
    </row>
    <row r="244">
      <c r="B244" t="str">
        <v>Octubre</v>
      </c>
      <c r="C244">
        <f>SUMIFS(Maestro!E:E, Maestro!G:G, B244, Maestro!A:A, "Ingreso")</f>
        <v>0</v>
      </c>
      <c r="D244">
        <f>SUMIFS(Maestro!E:E, Maestro!G:G, B244, Maestro!A:A, "Egreso")</f>
        <v>0</v>
      </c>
      <c r="E244">
        <f>SUMIFS(Maestro!E:E, Maestro!G:G, B244, Maestro!C:C, "Ahorro")</f>
        <v>0</v>
      </c>
      <c r="H244" t="str">
        <v>Conciertos</v>
      </c>
      <c r="I244" t="str">
        <v>Paulo Londra</v>
      </c>
      <c r="J244">
        <v>46263</v>
      </c>
      <c r="K244">
        <v>80</v>
      </c>
    </row>
    <row r="245">
      <c r="B245" t="str">
        <v>Noviembre</v>
      </c>
      <c r="C245">
        <f>SUMIFS(Maestro!E:E, Maestro!G:G, B245, Maestro!A:A, "Ingreso")</f>
        <v>0</v>
      </c>
      <c r="D245">
        <f>SUMIFS(Maestro!E:E, Maestro!G:G, B245, Maestro!A:A, "Egreso")</f>
        <v>0</v>
      </c>
      <c r="E245">
        <f>SUMIFS(Maestro!E:E, Maestro!G:G, B245, Maestro!C:C, "Ahorro")</f>
        <v>0</v>
      </c>
      <c r="H245" t="str">
        <v>Viajes</v>
      </c>
      <c r="I245" t="str">
        <v>Brasil</v>
      </c>
      <c r="J245">
        <v>46381</v>
      </c>
      <c r="K245">
        <f>1707.34+2084.8</f>
        <v>3792.1400000000003</v>
      </c>
    </row>
    <row r="246">
      <c r="B246" t="str">
        <v>Diciembre</v>
      </c>
      <c r="C246">
        <f>SUMIFS(Maestro!E:E, Maestro!G:G, B246, Maestro!A:A, "Ingreso")</f>
        <v>0</v>
      </c>
      <c r="D246">
        <f>SUMIFS(Maestro!E:E, Maestro!G:G, B246, Maestro!A:A, "Egreso")</f>
        <v>0</v>
      </c>
      <c r="E246">
        <f>SUMIFS(Maestro!E:E, Maestro!G:G, B246, Maestro!C:C, "Ahorro")</f>
        <v>0</v>
      </c>
    </row>
  </sheetData>
  <mergeCells count="20">
    <mergeCell ref="B208:D208"/>
    <mergeCell ref="E208:G208"/>
    <mergeCell ref="B164:D164"/>
    <mergeCell ref="E164:G164"/>
    <mergeCell ref="B186:D186"/>
    <mergeCell ref="E186:G186"/>
    <mergeCell ref="B119:D119"/>
    <mergeCell ref="E119:G119"/>
    <mergeCell ref="B142:D142"/>
    <mergeCell ref="E142:G142"/>
    <mergeCell ref="B96:D96"/>
    <mergeCell ref="E96:G96"/>
    <mergeCell ref="B74:D74"/>
    <mergeCell ref="E2:G2"/>
    <mergeCell ref="E25:G25"/>
    <mergeCell ref="E50:G50"/>
    <mergeCell ref="E74:G74"/>
    <mergeCell ref="B50:D50"/>
    <mergeCell ref="B2:D2"/>
    <mergeCell ref="B25:D25"/>
  </mergeCells>
  <pageMargins left="0.7" right="0.7" top="0.75" bottom="0.75" header="0.3" footer="0.3"/>
  <ignoredErrors>
    <ignoredError numberStoredAsText="1" sqref="B2:R288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Listas Validadas</vt:lpstr>
      <vt:lpstr>Estadistica</vt:lpstr>
      <vt:lpstr>Maestro</vt:lpstr>
      <vt:lpstr>maestrov2</vt:lpstr>
      <vt:lpstr>Presupuesto Anual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2026-09-08T15:40:22Z</dcterms:modified>
  <cp:lastModifiedBy>Luis Romero</cp:lastModifiedBy>
  <dc:creator>Luis Romero</dc:creator>
</cp:coreProperties>
</file>